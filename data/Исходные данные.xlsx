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Рынки!$A$1:$E$1094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3"/>
  <c r="LC22" i="14" s="1"/>
  <c r="LB22" i="13"/>
  <c r="LB22" i="14" s="1"/>
  <c r="LA22" i="13"/>
  <c r="LA22" i="14" s="1"/>
  <c r="KZ22" i="13"/>
  <c r="KZ22" i="14" s="1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3"/>
  <c r="LC21" i="14" s="1"/>
  <c r="LB21" i="13"/>
  <c r="LB21" i="14" s="1"/>
  <c r="LA21" i="13"/>
  <c r="LA21" i="14" s="1"/>
  <c r="KZ21" i="13"/>
  <c r="KZ21" i="14" s="1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3"/>
  <c r="LC20" i="14" s="1"/>
  <c r="LB20" i="13"/>
  <c r="LB20" i="14" s="1"/>
  <c r="LA20" i="13"/>
  <c r="LA20" i="14" s="1"/>
  <c r="KZ20" i="13"/>
  <c r="KZ20" i="14" s="1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3"/>
  <c r="LC19" i="14" s="1"/>
  <c r="LB19" i="13"/>
  <c r="LB19" i="14" s="1"/>
  <c r="LA19" i="13"/>
  <c r="LA19" i="14" s="1"/>
  <c r="KZ19" i="13"/>
  <c r="KZ19" i="14" s="1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3"/>
  <c r="LC18" i="14" s="1"/>
  <c r="LB18" i="13"/>
  <c r="LB18" i="14" s="1"/>
  <c r="LA18" i="13"/>
  <c r="LA18" i="14" s="1"/>
  <c r="KZ18" i="13"/>
  <c r="KZ18" i="14" s="1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3"/>
  <c r="LC17" i="14" s="1"/>
  <c r="LB17" i="13"/>
  <c r="LB17" i="14" s="1"/>
  <c r="LA17" i="13"/>
  <c r="LA17" i="14" s="1"/>
  <c r="KZ17" i="13"/>
  <c r="KZ17" i="14" s="1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3"/>
  <c r="LC16" i="14" s="1"/>
  <c r="LB16" i="13"/>
  <c r="LB16" i="14" s="1"/>
  <c r="LA16" i="13"/>
  <c r="LA16" i="14" s="1"/>
  <c r="KZ16" i="13"/>
  <c r="KZ16" i="14" s="1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3"/>
  <c r="LC15" i="14" s="1"/>
  <c r="LB15" i="13"/>
  <c r="LB15" i="14" s="1"/>
  <c r="LA15" i="13"/>
  <c r="LA15" i="14" s="1"/>
  <c r="KZ15" i="13"/>
  <c r="KZ15" i="14" s="1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3"/>
  <c r="LC14" i="14" s="1"/>
  <c r="LB14" i="13"/>
  <c r="LB14" i="14" s="1"/>
  <c r="LA14" i="13"/>
  <c r="LA14" i="14" s="1"/>
  <c r="KZ14" i="13"/>
  <c r="KZ14" i="14" s="1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3"/>
  <c r="LC13" i="14" s="1"/>
  <c r="LB13" i="13"/>
  <c r="LB13" i="14" s="1"/>
  <c r="LA13" i="13"/>
  <c r="LA13" i="14" s="1"/>
  <c r="KZ13" i="13"/>
  <c r="KZ13" i="14" s="1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3"/>
  <c r="LC12" i="14" s="1"/>
  <c r="LB12" i="13"/>
  <c r="LB12" i="14" s="1"/>
  <c r="LA12" i="13"/>
  <c r="LA12" i="14" s="1"/>
  <c r="KZ12" i="13"/>
  <c r="KZ12" i="14" s="1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3"/>
  <c r="LC11" i="14" s="1"/>
  <c r="LB11" i="13"/>
  <c r="LB11" i="14" s="1"/>
  <c r="LA11" i="13"/>
  <c r="LA11" i="14" s="1"/>
  <c r="KZ11" i="13"/>
  <c r="KZ11" i="14" s="1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3"/>
  <c r="LC10" i="14" s="1"/>
  <c r="LB10" i="13"/>
  <c r="LB10" i="14" s="1"/>
  <c r="LA10" i="13"/>
  <c r="LA10" i="14" s="1"/>
  <c r="KZ10" i="13"/>
  <c r="KZ10" i="14" s="1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3"/>
  <c r="LC9" i="14" s="1"/>
  <c r="LB9" i="13"/>
  <c r="LB9" i="14" s="1"/>
  <c r="LA9" i="13"/>
  <c r="LA9" i="14" s="1"/>
  <c r="KZ9" i="13"/>
  <c r="KZ9" i="14" s="1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3"/>
  <c r="LC8" i="14" s="1"/>
  <c r="LB8" i="13"/>
  <c r="LB8" i="14" s="1"/>
  <c r="LA8" i="13"/>
  <c r="LA8" i="14" s="1"/>
  <c r="KZ8" i="13"/>
  <c r="KZ8" i="14" s="1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3"/>
  <c r="LC7" i="14" s="1"/>
  <c r="LB7" i="13"/>
  <c r="LB7" i="14" s="1"/>
  <c r="LA7" i="13"/>
  <c r="LA7" i="14" s="1"/>
  <c r="KZ7" i="13"/>
  <c r="KZ7" i="14" s="1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3"/>
  <c r="LC6" i="14" s="1"/>
  <c r="LB6" i="13"/>
  <c r="LB6" i="14" s="1"/>
  <c r="LA6" i="13"/>
  <c r="LA6" i="14" s="1"/>
  <c r="KZ6" i="13"/>
  <c r="KZ6" i="14" s="1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3"/>
  <c r="LC5" i="14" s="1"/>
  <c r="LB5" i="13"/>
  <c r="LB5" i="14" s="1"/>
  <c r="LA5" i="13"/>
  <c r="LA5" i="14" s="1"/>
  <c r="KZ5" i="13"/>
  <c r="KZ5" i="14" s="1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3"/>
  <c r="LC3" i="14" s="1"/>
  <c r="LB3" i="13"/>
  <c r="LB3" i="14" s="1"/>
  <c r="LA3" i="13"/>
  <c r="LA3" i="14" s="1"/>
  <c r="KZ3" i="13"/>
  <c r="KZ3" i="14" s="1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3"/>
  <c r="LC2" i="14" s="1"/>
  <c r="LB2" i="13"/>
  <c r="LB2" i="14" s="1"/>
  <c r="LA2" i="13"/>
  <c r="LA2" i="14" s="1"/>
  <c r="KZ2" i="13"/>
  <c r="KZ2" i="14" s="1"/>
  <c r="KY2" i="13"/>
  <c r="KY2" i="14" s="1"/>
  <c r="KX2" i="13"/>
  <c r="KX2" i="14" s="1"/>
  <c r="KW2" i="13"/>
  <c r="KW2" i="14" s="1"/>
  <c r="KV2" i="13"/>
  <c r="KV2" i="14" s="1"/>
  <c r="KU2" i="13"/>
  <c r="KU2" i="14" s="1"/>
  <c r="KT2" i="13"/>
  <c r="KT2" i="14" s="1"/>
  <c r="KS2" i="13"/>
  <c r="KS2" i="14" s="1"/>
  <c r="KR2" i="13"/>
  <c r="KR2" i="14" s="1"/>
  <c r="KQ2" i="13"/>
  <c r="KQ2" i="14" s="1"/>
  <c r="KP2" i="13"/>
  <c r="KP2" i="14" s="1"/>
  <c r="KO2" i="13"/>
  <c r="KO2" i="14" s="1"/>
  <c r="KN2" i="13"/>
  <c r="KZ4" i="13" s="1"/>
  <c r="KZ4" i="14" s="1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J2" i="14" l="1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LB4" i="13"/>
  <c r="LB4" i="14" s="1"/>
  <c r="JP2" i="14"/>
  <c r="JW2" i="14"/>
  <c r="KF2" i="14"/>
  <c r="KM2" i="14"/>
  <c r="JZ4" i="13"/>
  <c r="JZ4" i="14" s="1"/>
  <c r="LA4" i="13"/>
  <c r="LA4" i="14" s="1"/>
  <c r="JW4" i="13"/>
  <c r="JW4" i="14" s="1"/>
  <c r="KE4" i="13"/>
  <c r="KE4" i="14" s="1"/>
  <c r="KM4" i="13"/>
  <c r="KM4" i="14" s="1"/>
  <c r="KU4" i="13"/>
  <c r="KU4" i="14" s="1"/>
  <c r="LC4" i="13"/>
  <c r="LC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2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3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4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5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6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7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8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9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0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1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2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13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14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15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16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<sst xmlns="http://schemas.openxmlformats.org/spreadsheetml/2006/main" count="2046" uniqueCount="137">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</sst>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charset val="204"/>
    </font>
    <font>
      <sz val="11"/>
      <color theme="1"/>
      <name val="Cera CY"/>
      <charset val="204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БП)"/>
      <sheetName val="Plots"/>
      <sheetName val="Лист1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ER_Week"/>
      <sheetName val="ER_Month"/>
      <sheetName val="Тест"/>
      <sheetName val="&gt; &gt;&gt;"/>
      <sheetName val="Эффективность БП"/>
      <sheetName val="Экспорт (БП)"/>
      <sheetName val="Веса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 t="str">
            <v/>
          </cell>
          <cell r="KQ27" t="str">
            <v/>
          </cell>
          <cell r="KR27" t="str">
            <v/>
          </cell>
          <cell r="KS27" t="str">
            <v/>
          </cell>
          <cell r="KT27" t="str">
            <v/>
          </cell>
          <cell r="KU27" t="str">
            <v/>
          </cell>
          <cell r="KV27" t="str">
            <v/>
          </cell>
          <cell r="KW27" t="str">
            <v/>
          </cell>
          <cell r="KX27" t="str">
            <v/>
          </cell>
          <cell r="KY27" t="str">
            <v/>
          </cell>
          <cell r="KZ27" t="str">
            <v/>
          </cell>
          <cell r="LA27" t="str">
            <v/>
          </cell>
          <cell r="LB27" t="str">
            <v/>
          </cell>
          <cell r="LC27" t="str">
            <v/>
          </cell>
          <cell r="LD27" t="str">
            <v/>
          </cell>
          <cell r="LE27" t="str">
            <v/>
          </cell>
          <cell r="LF27" t="str">
            <v/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62.812583967626026</v>
          </cell>
          <cell r="KP44" t="str">
            <v/>
          </cell>
          <cell r="KQ44" t="str">
            <v/>
          </cell>
          <cell r="KR44" t="str">
            <v/>
          </cell>
          <cell r="KS44" t="str">
            <v/>
          </cell>
          <cell r="KT44" t="str">
            <v/>
          </cell>
          <cell r="KU44" t="str">
            <v/>
          </cell>
          <cell r="KV44" t="str">
            <v/>
          </cell>
          <cell r="KW44" t="str">
            <v/>
          </cell>
          <cell r="KX44" t="str">
            <v/>
          </cell>
          <cell r="KY44" t="str">
            <v/>
          </cell>
          <cell r="KZ44" t="str">
            <v/>
          </cell>
          <cell r="LA44" t="str">
            <v/>
          </cell>
          <cell r="LB44" t="str">
            <v/>
          </cell>
          <cell r="LC44" t="str">
            <v/>
          </cell>
          <cell r="LD44" t="str">
            <v/>
          </cell>
          <cell r="LE44" t="str">
            <v/>
          </cell>
          <cell r="LF44" t="str">
            <v/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73.791916373457624</v>
          </cell>
          <cell r="KP48" t="str">
            <v/>
          </cell>
          <cell r="KQ48" t="str">
            <v/>
          </cell>
          <cell r="KR48" t="str">
            <v/>
          </cell>
          <cell r="KS48" t="str">
            <v/>
          </cell>
          <cell r="KT48" t="str">
            <v/>
          </cell>
          <cell r="KU48" t="str">
            <v/>
          </cell>
          <cell r="KV48" t="str">
            <v/>
          </cell>
          <cell r="KW48" t="str">
            <v/>
          </cell>
          <cell r="KX48" t="str">
            <v/>
          </cell>
          <cell r="KY48" t="str">
            <v/>
          </cell>
          <cell r="KZ48" t="str">
            <v/>
          </cell>
          <cell r="LA48" t="str">
            <v/>
          </cell>
          <cell r="LB48" t="str">
            <v/>
          </cell>
          <cell r="LC48" t="str">
            <v/>
          </cell>
          <cell r="LD48" t="str">
            <v/>
          </cell>
          <cell r="LE48" t="str">
            <v/>
          </cell>
          <cell r="LF48" t="str">
            <v/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56.573601125098008</v>
          </cell>
          <cell r="KA52">
            <v>56.065757499484697</v>
          </cell>
          <cell r="KB52">
            <v>56.346526693099555</v>
          </cell>
          <cell r="KC52">
            <v>56.600477143627472</v>
          </cell>
          <cell r="KD52">
            <v>59.209518853217709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58.004929878428015</v>
          </cell>
          <cell r="KI52">
            <v>57.846656872113286</v>
          </cell>
          <cell r="KJ52">
            <v>58.095748336612381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57.561022098677334</v>
          </cell>
          <cell r="KP52" t="str">
            <v/>
          </cell>
          <cell r="KQ52" t="str">
            <v/>
          </cell>
          <cell r="KR52" t="str">
            <v/>
          </cell>
          <cell r="KS52" t="str">
            <v/>
          </cell>
          <cell r="KT52" t="str">
            <v/>
          </cell>
          <cell r="KU52" t="str">
            <v/>
          </cell>
          <cell r="KV52" t="str">
            <v/>
          </cell>
          <cell r="KW52" t="str">
            <v/>
          </cell>
          <cell r="KX52" t="str">
            <v/>
          </cell>
          <cell r="KY52" t="str">
            <v/>
          </cell>
          <cell r="KZ52" t="str">
            <v/>
          </cell>
          <cell r="LA52" t="str">
            <v/>
          </cell>
          <cell r="LB52" t="str">
            <v/>
          </cell>
          <cell r="LC52" t="str">
            <v/>
          </cell>
          <cell r="LD52" t="str">
            <v/>
          </cell>
          <cell r="LE52" t="str">
            <v/>
          </cell>
          <cell r="LF52" t="str">
            <v/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63.516953488054277</v>
          </cell>
          <cell r="JX56">
            <v>62.007582390354955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 t="str">
            <v/>
          </cell>
          <cell r="KQ56" t="str">
            <v/>
          </cell>
          <cell r="KR56" t="str">
            <v/>
          </cell>
          <cell r="KS56" t="str">
            <v/>
          </cell>
          <cell r="KT56" t="str">
            <v/>
          </cell>
          <cell r="KU56" t="str">
            <v/>
          </cell>
          <cell r="KV56" t="str">
            <v/>
          </cell>
          <cell r="KW56" t="str">
            <v/>
          </cell>
          <cell r="KX56" t="str">
            <v/>
          </cell>
          <cell r="KY56" t="str">
            <v/>
          </cell>
          <cell r="KZ56" t="str">
            <v/>
          </cell>
          <cell r="LA56" t="str">
            <v/>
          </cell>
          <cell r="LB56" t="str">
            <v/>
          </cell>
          <cell r="LC56" t="str">
            <v/>
          </cell>
          <cell r="LD56" t="str">
            <v/>
          </cell>
          <cell r="LE56" t="str">
            <v/>
          </cell>
          <cell r="LF56" t="str">
            <v/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60.297615284776349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 t="str">
            <v/>
          </cell>
          <cell r="KQ60" t="str">
            <v/>
          </cell>
          <cell r="KR60" t="str">
            <v/>
          </cell>
          <cell r="KS60" t="str">
            <v/>
          </cell>
          <cell r="KT60" t="str">
            <v/>
          </cell>
          <cell r="KU60" t="str">
            <v/>
          </cell>
          <cell r="KV60" t="str">
            <v/>
          </cell>
          <cell r="KW60" t="str">
            <v/>
          </cell>
          <cell r="KX60" t="str">
            <v/>
          </cell>
          <cell r="KY60" t="str">
            <v/>
          </cell>
          <cell r="KZ60" t="str">
            <v/>
          </cell>
          <cell r="LA60" t="str">
            <v/>
          </cell>
          <cell r="LB60" t="str">
            <v/>
          </cell>
          <cell r="LC60" t="str">
            <v/>
          </cell>
          <cell r="LD60" t="str">
            <v/>
          </cell>
          <cell r="LE60" t="str">
            <v/>
          </cell>
          <cell r="LF60" t="str">
            <v/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-0.87214366484941053</v>
          </cell>
          <cell r="KP115" t="str">
            <v/>
          </cell>
          <cell r="KQ115" t="str">
            <v/>
          </cell>
          <cell r="KR115" t="str">
            <v/>
          </cell>
          <cell r="KS115" t="str">
            <v/>
          </cell>
          <cell r="KT115" t="str">
            <v/>
          </cell>
          <cell r="KU115" t="str">
            <v/>
          </cell>
          <cell r="KV115" t="str">
            <v/>
          </cell>
          <cell r="KW115" t="str">
            <v/>
          </cell>
          <cell r="KX115" t="str">
            <v/>
          </cell>
          <cell r="KY115" t="str">
            <v/>
          </cell>
          <cell r="KZ115" t="str">
            <v/>
          </cell>
          <cell r="LA115" t="str">
            <v/>
          </cell>
          <cell r="LB115" t="str">
            <v/>
          </cell>
          <cell r="LC115" t="str">
            <v/>
          </cell>
          <cell r="LD115" t="str">
            <v/>
          </cell>
          <cell r="LE115" t="str">
            <v/>
          </cell>
          <cell r="LF115">
            <v>0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-0.16045697214751437</v>
          </cell>
          <cell r="KP116" t="str">
            <v/>
          </cell>
          <cell r="KQ116" t="str">
            <v/>
          </cell>
          <cell r="KR116" t="str">
            <v/>
          </cell>
          <cell r="KS116" t="str">
            <v/>
          </cell>
          <cell r="KT116" t="str">
            <v/>
          </cell>
          <cell r="KU116" t="str">
            <v/>
          </cell>
          <cell r="KV116" t="str">
            <v/>
          </cell>
          <cell r="KW116" t="str">
            <v/>
          </cell>
          <cell r="KX116" t="str">
            <v/>
          </cell>
          <cell r="KY116" t="str">
            <v/>
          </cell>
          <cell r="KZ116" t="str">
            <v/>
          </cell>
          <cell r="LA116" t="str">
            <v/>
          </cell>
          <cell r="LB116" t="str">
            <v/>
          </cell>
          <cell r="LC116" t="str">
            <v/>
          </cell>
          <cell r="LD116" t="str">
            <v/>
          </cell>
          <cell r="LE116" t="str">
            <v/>
          </cell>
          <cell r="LF116" t="str">
            <v/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 t="str">
            <v/>
          </cell>
          <cell r="KQ117" t="str">
            <v/>
          </cell>
          <cell r="KR117" t="str">
            <v/>
          </cell>
          <cell r="KS117" t="str">
            <v/>
          </cell>
          <cell r="KT117" t="str">
            <v/>
          </cell>
          <cell r="KU117" t="str">
            <v/>
          </cell>
          <cell r="KV117" t="str">
            <v/>
          </cell>
          <cell r="KW117" t="str">
            <v/>
          </cell>
          <cell r="KX117" t="str">
            <v/>
          </cell>
          <cell r="KY117" t="str">
            <v/>
          </cell>
          <cell r="KZ117" t="str">
            <v/>
          </cell>
          <cell r="LA117" t="str">
            <v/>
          </cell>
          <cell r="LB117" t="str">
            <v/>
          </cell>
          <cell r="LC117" t="str">
            <v/>
          </cell>
          <cell r="LD117" t="str">
            <v/>
          </cell>
          <cell r="LE117" t="str">
            <v/>
          </cell>
          <cell r="LF117" t="str">
            <v/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-0.35301825409778004</v>
          </cell>
          <cell r="KP118" t="str">
            <v/>
          </cell>
          <cell r="KQ118" t="str">
            <v/>
          </cell>
          <cell r="KR118" t="str">
            <v/>
          </cell>
          <cell r="KS118" t="str">
            <v/>
          </cell>
          <cell r="KT118" t="str">
            <v/>
          </cell>
          <cell r="KU118" t="str">
            <v/>
          </cell>
          <cell r="KV118" t="str">
            <v/>
          </cell>
          <cell r="KW118" t="str">
            <v/>
          </cell>
          <cell r="KX118" t="str">
            <v/>
          </cell>
          <cell r="KY118" t="str">
            <v/>
          </cell>
          <cell r="KZ118" t="str">
            <v/>
          </cell>
          <cell r="LA118" t="str">
            <v/>
          </cell>
          <cell r="LB118" t="str">
            <v/>
          </cell>
          <cell r="LC118" t="str">
            <v/>
          </cell>
          <cell r="LD118" t="str">
            <v/>
          </cell>
          <cell r="LE118" t="str">
            <v/>
          </cell>
          <cell r="LF118" t="str">
            <v/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0.1947715779706875</v>
          </cell>
          <cell r="KP119" t="str">
            <v/>
          </cell>
          <cell r="KQ119" t="str">
            <v/>
          </cell>
          <cell r="KR119" t="str">
            <v/>
          </cell>
          <cell r="KS119" t="str">
            <v/>
          </cell>
          <cell r="KT119" t="str">
            <v/>
          </cell>
          <cell r="KU119" t="str">
            <v/>
          </cell>
          <cell r="KV119" t="str">
            <v/>
          </cell>
          <cell r="KW119" t="str">
            <v/>
          </cell>
          <cell r="KX119" t="str">
            <v/>
          </cell>
          <cell r="KY119" t="str">
            <v/>
          </cell>
          <cell r="KZ119" t="str">
            <v/>
          </cell>
          <cell r="LA119" t="str">
            <v/>
          </cell>
          <cell r="LB119" t="str">
            <v/>
          </cell>
          <cell r="LC119" t="str">
            <v/>
          </cell>
          <cell r="LD119" t="str">
            <v/>
          </cell>
          <cell r="LE119" t="str">
            <v/>
          </cell>
          <cell r="LF119" t="str">
            <v/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 t="str">
            <v/>
          </cell>
          <cell r="KQ120" t="str">
            <v/>
          </cell>
          <cell r="KR120" t="str">
            <v/>
          </cell>
          <cell r="KS120" t="str">
            <v/>
          </cell>
          <cell r="KT120" t="str">
            <v/>
          </cell>
          <cell r="KU120" t="str">
            <v/>
          </cell>
          <cell r="KV120" t="str">
            <v/>
          </cell>
          <cell r="KW120" t="str">
            <v/>
          </cell>
          <cell r="KX120" t="str">
            <v/>
          </cell>
          <cell r="KY120" t="str">
            <v/>
          </cell>
          <cell r="KZ120" t="str">
            <v/>
          </cell>
          <cell r="LA120" t="str">
            <v/>
          </cell>
          <cell r="LB120" t="str">
            <v/>
          </cell>
          <cell r="LC120" t="str">
            <v/>
          </cell>
          <cell r="LD120" t="str">
            <v/>
          </cell>
          <cell r="LE120" t="str">
            <v/>
          </cell>
          <cell r="LF120" t="str">
            <v/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-0.23951505507921236</v>
          </cell>
          <cell r="KP121" t="str">
            <v/>
          </cell>
          <cell r="KQ121" t="str">
            <v/>
          </cell>
          <cell r="KR121" t="str">
            <v/>
          </cell>
          <cell r="KS121" t="str">
            <v/>
          </cell>
          <cell r="KT121" t="str">
            <v/>
          </cell>
          <cell r="KU121" t="str">
            <v/>
          </cell>
          <cell r="KV121" t="str">
            <v/>
          </cell>
          <cell r="KW121" t="str">
            <v/>
          </cell>
          <cell r="KX121" t="str">
            <v/>
          </cell>
          <cell r="KY121" t="str">
            <v/>
          </cell>
          <cell r="KZ121" t="str">
            <v/>
          </cell>
          <cell r="LA121" t="str">
            <v/>
          </cell>
          <cell r="LB121" t="str">
            <v/>
          </cell>
          <cell r="LC121" t="str">
            <v/>
          </cell>
          <cell r="LD121" t="str">
            <v/>
          </cell>
          <cell r="LE121" t="str">
            <v/>
          </cell>
          <cell r="LF121" t="str">
            <v/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 t="str">
            <v/>
          </cell>
          <cell r="KQ122" t="str">
            <v/>
          </cell>
          <cell r="KR122" t="str">
            <v/>
          </cell>
          <cell r="KS122" t="str">
            <v/>
          </cell>
          <cell r="KT122" t="str">
            <v/>
          </cell>
          <cell r="KU122" t="str">
            <v/>
          </cell>
          <cell r="KV122" t="str">
            <v/>
          </cell>
          <cell r="KW122" t="str">
            <v/>
          </cell>
          <cell r="KX122" t="str">
            <v/>
          </cell>
          <cell r="KY122" t="str">
            <v/>
          </cell>
          <cell r="KZ122" t="str">
            <v/>
          </cell>
          <cell r="LA122" t="str">
            <v/>
          </cell>
          <cell r="LB122" t="str">
            <v/>
          </cell>
          <cell r="LC122" t="str">
            <v/>
          </cell>
          <cell r="LD122" t="str">
            <v/>
          </cell>
          <cell r="LE122" t="str">
            <v/>
          </cell>
          <cell r="LF122" t="str">
            <v/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 t="str">
            <v/>
          </cell>
          <cell r="KQ123" t="str">
            <v/>
          </cell>
          <cell r="KR123" t="str">
            <v/>
          </cell>
          <cell r="KS123" t="str">
            <v/>
          </cell>
          <cell r="KT123" t="str">
            <v/>
          </cell>
          <cell r="KU123" t="str">
            <v/>
          </cell>
          <cell r="KV123" t="str">
            <v/>
          </cell>
          <cell r="KW123" t="str">
            <v/>
          </cell>
          <cell r="KX123" t="str">
            <v/>
          </cell>
          <cell r="KY123" t="str">
            <v/>
          </cell>
          <cell r="KZ123" t="str">
            <v/>
          </cell>
          <cell r="LA123" t="str">
            <v/>
          </cell>
          <cell r="LB123" t="str">
            <v/>
          </cell>
          <cell r="LC123" t="str">
            <v/>
          </cell>
          <cell r="LD123" t="str">
            <v/>
          </cell>
          <cell r="LE123" t="str">
            <v/>
          </cell>
          <cell r="LF123" t="str">
            <v/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 t="str">
            <v/>
          </cell>
          <cell r="KQ124" t="str">
            <v/>
          </cell>
          <cell r="KR124" t="str">
            <v/>
          </cell>
          <cell r="KS124" t="str">
            <v/>
          </cell>
          <cell r="KT124" t="str">
            <v/>
          </cell>
          <cell r="KU124" t="str">
            <v/>
          </cell>
          <cell r="KV124" t="str">
            <v/>
          </cell>
          <cell r="KW124" t="str">
            <v/>
          </cell>
          <cell r="KX124" t="str">
            <v/>
          </cell>
          <cell r="KY124" t="str">
            <v/>
          </cell>
          <cell r="KZ124" t="str">
            <v/>
          </cell>
          <cell r="LA124" t="str">
            <v/>
          </cell>
          <cell r="LB124" t="str">
            <v/>
          </cell>
          <cell r="LC124" t="str">
            <v/>
          </cell>
          <cell r="LD124" t="str">
            <v/>
          </cell>
          <cell r="LE124" t="str">
            <v/>
          </cell>
          <cell r="LF124" t="str">
            <v/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 t="str">
            <v/>
          </cell>
          <cell r="KQ125" t="str">
            <v/>
          </cell>
          <cell r="KR125" t="str">
            <v/>
          </cell>
          <cell r="KS125" t="str">
            <v/>
          </cell>
          <cell r="KT125" t="str">
            <v/>
          </cell>
          <cell r="KU125" t="str">
            <v/>
          </cell>
          <cell r="KV125" t="str">
            <v/>
          </cell>
          <cell r="KW125" t="str">
            <v/>
          </cell>
          <cell r="KX125" t="str">
            <v/>
          </cell>
          <cell r="KY125" t="str">
            <v/>
          </cell>
          <cell r="KZ125" t="str">
            <v/>
          </cell>
          <cell r="LA125" t="str">
            <v/>
          </cell>
          <cell r="LB125" t="str">
            <v/>
          </cell>
          <cell r="LC125" t="str">
            <v/>
          </cell>
          <cell r="LD125" t="str">
            <v/>
          </cell>
          <cell r="LE125" t="str">
            <v/>
          </cell>
          <cell r="LF125" t="str">
            <v/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10.638130049391336</v>
          </cell>
          <cell r="KP41" t="e">
            <v>#VALUE!</v>
          </cell>
          <cell r="KQ41" t="e">
            <v>#VALUE!</v>
          </cell>
          <cell r="KR41" t="e">
            <v>#VALUE!</v>
          </cell>
          <cell r="KS41" t="e">
            <v>#VALUE!</v>
          </cell>
          <cell r="KT41" t="e">
            <v>#VALUE!</v>
          </cell>
          <cell r="KU41" t="e">
            <v>#VALUE!</v>
          </cell>
          <cell r="KV41" t="e">
            <v>#VALUE!</v>
          </cell>
          <cell r="KW41" t="e">
            <v>#VALUE!</v>
          </cell>
          <cell r="KX41" t="e">
            <v>#VALUE!</v>
          </cell>
          <cell r="KY41" t="e">
            <v>#VALUE!</v>
          </cell>
          <cell r="KZ41" t="e">
            <v>#VALUE!</v>
          </cell>
          <cell r="LA41" t="e">
            <v>#VALUE!</v>
          </cell>
          <cell r="LB41" t="e">
            <v>#VALUE!</v>
          </cell>
          <cell r="LC41" t="e">
            <v>#VALUE!</v>
          </cell>
          <cell r="LD41" t="e">
            <v>#VALUE!</v>
          </cell>
          <cell r="LE41" t="e">
            <v>#VALUE!</v>
          </cell>
          <cell r="LF41" t="e">
            <v>#VALUE!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70.290140529001093</v>
          </cell>
          <cell r="KP44" t="str">
            <v/>
          </cell>
          <cell r="KQ44" t="str">
            <v/>
          </cell>
          <cell r="KR44" t="str">
            <v/>
          </cell>
          <cell r="KS44" t="str">
            <v/>
          </cell>
          <cell r="KT44" t="str">
            <v/>
          </cell>
          <cell r="KU44" t="str">
            <v/>
          </cell>
          <cell r="KV44" t="str">
            <v/>
          </cell>
          <cell r="KW44" t="str">
            <v/>
          </cell>
          <cell r="KX44" t="str">
            <v/>
          </cell>
          <cell r="KY44" t="str">
            <v/>
          </cell>
          <cell r="KZ44" t="str">
            <v/>
          </cell>
          <cell r="LA44" t="str">
            <v/>
          </cell>
          <cell r="LB44" t="str">
            <v/>
          </cell>
          <cell r="LC44" t="str">
            <v/>
          </cell>
          <cell r="LD44" t="str">
            <v/>
          </cell>
          <cell r="LE44" t="str">
            <v/>
          </cell>
          <cell r="LF44" t="str">
            <v/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 t="str">
            <v/>
          </cell>
          <cell r="BNT9" t="str">
            <v/>
          </cell>
          <cell r="BNU9" t="str">
            <v/>
          </cell>
          <cell r="BNV9" t="str">
            <v/>
          </cell>
          <cell r="BNW9" t="str">
            <v/>
          </cell>
          <cell r="BNX9" t="str">
            <v/>
          </cell>
          <cell r="BNY9" t="str">
            <v/>
          </cell>
          <cell r="BNZ9" t="str">
            <v/>
          </cell>
          <cell r="BOA9" t="str">
            <v/>
          </cell>
          <cell r="BOB9" t="str">
            <v/>
          </cell>
          <cell r="BOC9" t="str">
            <v/>
          </cell>
          <cell r="BOD9" t="str">
            <v/>
          </cell>
          <cell r="BOE9" t="str">
            <v/>
          </cell>
          <cell r="BOF9" t="str">
            <v/>
          </cell>
          <cell r="BOG9" t="str">
            <v/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Summary"/>
      <sheetName val="Оценка точности -&gt;"/>
      <sheetName val="2024"/>
      <sheetName val="2023"/>
      <sheetName val="Факт"/>
      <sheetName val="лист"/>
      <sheetName val="Оценка точности"/>
      <sheetName val="Лист2"/>
      <sheetName val="Лист3"/>
    </sheetNames>
    <sheetDataSet>
      <sheetData sheetId="0"/>
      <sheetData sheetId="1"/>
      <sheetData sheetId="2"/>
      <sheetData sheetId="3">
        <row r="1">
          <cell r="C1">
            <v>45809</v>
          </cell>
          <cell r="D1">
            <v>45901</v>
          </cell>
          <cell r="E1">
            <v>45992</v>
          </cell>
          <cell r="F1">
            <v>46082</v>
          </cell>
          <cell r="G1">
            <v>46174</v>
          </cell>
          <cell r="J1">
            <v>46388</v>
          </cell>
        </row>
        <row r="53">
          <cell r="C53">
            <v>10.943300000000001</v>
          </cell>
          <cell r="D53">
            <v>11.572114413070379</v>
          </cell>
          <cell r="E53">
            <v>12.142358688066992</v>
          </cell>
          <cell r="F53">
            <v>12.467644669471587</v>
          </cell>
          <cell r="G53">
            <v>12.730960499869605</v>
          </cell>
          <cell r="J53">
            <v>14.005602240896359</v>
          </cell>
        </row>
        <row r="54">
          <cell r="C54">
            <v>10.943300000000001</v>
          </cell>
          <cell r="D54">
            <v>11.693692939668631</v>
          </cell>
          <cell r="E54">
            <v>12.1875</v>
          </cell>
          <cell r="F54">
            <v>12.638888888888889</v>
          </cell>
          <cell r="G54">
            <v>12.822319363392522</v>
          </cell>
          <cell r="J54">
            <v>14.027777777777777</v>
          </cell>
        </row>
        <row r="55">
          <cell r="C55">
            <v>10.943300000000001</v>
          </cell>
          <cell r="D55">
            <v>11.381944444444445</v>
          </cell>
          <cell r="E55">
            <v>11.908321868450603</v>
          </cell>
          <cell r="F55">
            <v>12.256934092469411</v>
          </cell>
          <cell r="G55">
            <v>12.495513174774365</v>
          </cell>
          <cell r="J55">
            <v>13.459412342997409</v>
          </cell>
        </row>
        <row r="56">
          <cell r="C56"/>
          <cell r="D56">
            <v>0.38193959327822391</v>
          </cell>
          <cell r="E56">
            <v>0.83459523543187331</v>
          </cell>
          <cell r="F56">
            <v>0.6202588899867294</v>
          </cell>
          <cell r="G56">
            <v>0.85074916655144683</v>
          </cell>
          <cell r="J56">
            <v>1.2370162284311625</v>
          </cell>
        </row>
      </sheetData>
      <sheetData sheetId="4"/>
      <sheetData sheetId="5">
        <row r="2">
          <cell r="E2" t="str">
            <v>2025
Q3</v>
          </cell>
          <cell r="F2" t="str">
            <v>2025
Q4</v>
          </cell>
          <cell r="G2" t="str">
            <v>2026
Q1</v>
          </cell>
          <cell r="H2" t="str">
            <v>2026
Q2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11.572114413070379</v>
          </cell>
          <cell r="F19">
            <v>12.142358688066992</v>
          </cell>
          <cell r="G19">
            <v>12.467644669471587</v>
          </cell>
          <cell r="H19">
            <v>12.730960499869605</v>
          </cell>
          <cell r="I19">
            <v>12.142358688066992</v>
          </cell>
          <cell r="J19">
            <v>13.583449231226027</v>
          </cell>
          <cell r="K19">
            <v>14.005602240896359</v>
          </cell>
        </row>
        <row r="20">
          <cell r="E20">
            <v>11.693692939668631</v>
          </cell>
          <cell r="F20">
            <v>12.1875</v>
          </cell>
          <cell r="G20">
            <v>12.638888888888889</v>
          </cell>
          <cell r="H20">
            <v>12.822319363392522</v>
          </cell>
          <cell r="I20">
            <v>12.1875</v>
          </cell>
          <cell r="J20">
            <v>13.347784212399906</v>
          </cell>
          <cell r="K20">
            <v>14.027777777777777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1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1"/>
      <queryTableField id="2" name="Год" tableColumnId="2"/>
      <queryTableField id="3" name="Месяц" tableColumnId="3"/>
      <queryTableField id="4" name="Данные" tableColumnId="4"/>
      <queryTableField id="5" name="Наименование показателя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1094" tableType="queryTable" insertRowShift="1" totalsRowShown="0">
  <autoFilter ref="A1:E1094"/>
  <tableColumns count="5">
    <tableColumn id="1" uniqueName="1" name="Дата" queryTableFieldId="1" dataDxfId="0"/>
    <tableColumn id="2" uniqueName="2" name="Год" queryTableFieldId="2"/>
    <tableColumn id="3" uniqueName="3" name="Месяц" queryTableFieldId="3"/>
    <tableColumn id="4" uniqueName="4" name="Данные" queryTableFieldId="4"/>
    <tableColumn id="5" uniqueName="5" name="Наименование показателя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4"/>
  <sheetViews>
    <sheetView tabSelected="1" workbookViewId="0">
      <selection sqref="A1:E1094"/>
    </sheetView>
  </sheetViews>
  <sheetFormatPr defaultRowHeight="15" x14ac:dyDescent="0.25"/>
  <cols>
    <col min="1" max="1" width="10.140625" bestFit="1" customWidth="1"/>
    <col min="2" max="2" width="6.5703125" bestFit="1" customWidth="1"/>
    <col min="3" max="3" width="9.28515625" bestFit="1" customWidth="1"/>
    <col min="4" max="4" width="12.7109375" bestFit="1" customWidth="1"/>
    <col min="5" max="5" width="66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43647</v>
      </c>
      <c r="B2" s="1">
        <v>2019</v>
      </c>
      <c r="C2" s="1">
        <v>7</v>
      </c>
      <c r="D2" s="1">
        <v>69</v>
      </c>
      <c r="E2" s="1" t="s">
        <v>11</v>
      </c>
    </row>
    <row r="3" spans="1:5" x14ac:dyDescent="0.25">
      <c r="A3" s="2">
        <v>43678</v>
      </c>
      <c r="B3" s="1">
        <v>2019</v>
      </c>
      <c r="C3" s="1">
        <v>8</v>
      </c>
      <c r="D3" s="1">
        <v>65.038461538461547</v>
      </c>
      <c r="E3" s="1" t="s">
        <v>11</v>
      </c>
    </row>
    <row r="4" spans="1:5" x14ac:dyDescent="0.25">
      <c r="A4" s="2">
        <v>43709</v>
      </c>
      <c r="B4" s="1">
        <v>2019</v>
      </c>
      <c r="C4" s="1">
        <v>9</v>
      </c>
      <c r="D4" s="1">
        <v>65.900000000000006</v>
      </c>
      <c r="E4" s="1" t="s">
        <v>11</v>
      </c>
    </row>
    <row r="5" spans="1:5" x14ac:dyDescent="0.25">
      <c r="A5" s="2">
        <v>43739</v>
      </c>
      <c r="B5" s="1">
        <v>2019</v>
      </c>
      <c r="C5" s="1">
        <v>10</v>
      </c>
      <c r="D5" s="1">
        <v>59.5</v>
      </c>
      <c r="E5" s="1" t="s">
        <v>11</v>
      </c>
    </row>
    <row r="6" spans="1:5" x14ac:dyDescent="0.25">
      <c r="A6" s="2">
        <v>43770</v>
      </c>
      <c r="B6" s="1">
        <v>2019</v>
      </c>
      <c r="C6" s="1">
        <v>11</v>
      </c>
      <c r="D6" s="1">
        <v>58.666666666666671</v>
      </c>
      <c r="E6" s="1" t="s">
        <v>11</v>
      </c>
    </row>
    <row r="7" spans="1:5" x14ac:dyDescent="0.25">
      <c r="A7" s="2">
        <v>43800</v>
      </c>
      <c r="B7" s="1">
        <v>2019</v>
      </c>
      <c r="C7" s="1">
        <v>12</v>
      </c>
      <c r="D7" s="1">
        <v>39.799999999999997</v>
      </c>
      <c r="E7" s="1" t="s">
        <v>11</v>
      </c>
    </row>
    <row r="8" spans="1:5" x14ac:dyDescent="0.25">
      <c r="A8" s="2">
        <v>43831</v>
      </c>
      <c r="B8" s="1">
        <v>2020</v>
      </c>
      <c r="C8" s="1">
        <v>1</v>
      </c>
      <c r="D8" s="1">
        <v>42.957142857142856</v>
      </c>
      <c r="E8" s="1" t="s">
        <v>11</v>
      </c>
    </row>
    <row r="9" spans="1:5" x14ac:dyDescent="0.25">
      <c r="A9" s="2">
        <v>43862</v>
      </c>
      <c r="B9" s="1">
        <v>2020</v>
      </c>
      <c r="C9" s="1">
        <v>2</v>
      </c>
      <c r="D9" s="1">
        <v>47.353846153846163</v>
      </c>
      <c r="E9" s="1" t="s">
        <v>11</v>
      </c>
    </row>
    <row r="10" spans="1:5" x14ac:dyDescent="0.25">
      <c r="A10" s="2">
        <v>43891</v>
      </c>
      <c r="B10" s="1">
        <v>2020</v>
      </c>
      <c r="C10" s="1">
        <v>3</v>
      </c>
      <c r="D10" s="1">
        <v>82.091666666666683</v>
      </c>
      <c r="E10" s="1" t="s">
        <v>11</v>
      </c>
    </row>
    <row r="11" spans="1:5" x14ac:dyDescent="0.25">
      <c r="A11" s="2">
        <v>43922</v>
      </c>
      <c r="B11" s="1">
        <v>2020</v>
      </c>
      <c r="C11" s="1">
        <v>4</v>
      </c>
      <c r="D11" s="1">
        <v>81.540000000000006</v>
      </c>
      <c r="E11" s="1" t="s">
        <v>11</v>
      </c>
    </row>
    <row r="12" spans="1:5" x14ac:dyDescent="0.25">
      <c r="A12" s="2">
        <v>43952</v>
      </c>
      <c r="B12" s="1">
        <v>2020</v>
      </c>
      <c r="C12" s="1">
        <v>5</v>
      </c>
      <c r="D12" s="1">
        <v>81.542857142857159</v>
      </c>
      <c r="E12" s="1" t="s">
        <v>11</v>
      </c>
    </row>
    <row r="13" spans="1:5" x14ac:dyDescent="0.25">
      <c r="A13" s="2">
        <v>43983</v>
      </c>
      <c r="B13" s="1">
        <v>2020</v>
      </c>
      <c r="C13" s="1">
        <v>6</v>
      </c>
      <c r="D13" s="1">
        <v>71.160000000000011</v>
      </c>
      <c r="E13" s="1" t="s">
        <v>11</v>
      </c>
    </row>
    <row r="14" spans="1:5" x14ac:dyDescent="0.25">
      <c r="A14" s="2">
        <v>44013</v>
      </c>
      <c r="B14" s="1">
        <v>2020</v>
      </c>
      <c r="C14" s="1">
        <v>7</v>
      </c>
      <c r="D14" s="1">
        <v>69.000000000000014</v>
      </c>
      <c r="E14" s="1" t="s">
        <v>11</v>
      </c>
    </row>
    <row r="15" spans="1:5" x14ac:dyDescent="0.25">
      <c r="A15" s="2">
        <v>44044</v>
      </c>
      <c r="B15" s="1">
        <v>2020</v>
      </c>
      <c r="C15" s="1">
        <v>8</v>
      </c>
      <c r="D15" s="1">
        <v>66.839999999999989</v>
      </c>
      <c r="E15" s="1" t="s">
        <v>11</v>
      </c>
    </row>
    <row r="16" spans="1:5" x14ac:dyDescent="0.25">
      <c r="A16" s="2">
        <v>44075</v>
      </c>
      <c r="B16" s="1">
        <v>2020</v>
      </c>
      <c r="C16" s="1">
        <v>9</v>
      </c>
      <c r="D16" s="1">
        <v>63.55</v>
      </c>
      <c r="E16" s="1" t="s">
        <v>11</v>
      </c>
    </row>
    <row r="17" spans="1:8" x14ac:dyDescent="0.25">
      <c r="A17" s="2">
        <v>44105</v>
      </c>
      <c r="B17" s="1">
        <v>2020</v>
      </c>
      <c r="C17" s="1">
        <v>10</v>
      </c>
      <c r="D17" s="1">
        <v>63.55</v>
      </c>
      <c r="E17" s="1" t="s">
        <v>11</v>
      </c>
    </row>
    <row r="18" spans="1:8" x14ac:dyDescent="0.25">
      <c r="A18" s="2">
        <v>44136</v>
      </c>
      <c r="B18" s="1">
        <v>2020</v>
      </c>
      <c r="C18" s="1">
        <v>11</v>
      </c>
      <c r="D18" s="1">
        <v>64.036363636363632</v>
      </c>
      <c r="E18" s="1" t="s">
        <v>11</v>
      </c>
      <c r="H18" t="s">
        <v>135</v>
      </c>
    </row>
    <row r="19" spans="1:8" x14ac:dyDescent="0.25">
      <c r="A19" s="2">
        <v>44166</v>
      </c>
      <c r="B19" s="1">
        <v>2020</v>
      </c>
      <c r="C19" s="1">
        <v>12</v>
      </c>
      <c r="D19" s="1">
        <v>61.05</v>
      </c>
      <c r="E19" s="1" t="s">
        <v>11</v>
      </c>
    </row>
    <row r="20" spans="1:8" x14ac:dyDescent="0.25">
      <c r="A20" s="2">
        <v>44197</v>
      </c>
      <c r="B20" s="1">
        <v>2021</v>
      </c>
      <c r="C20" s="1">
        <v>1</v>
      </c>
      <c r="D20" s="1">
        <v>49.5</v>
      </c>
      <c r="E20" s="1" t="s">
        <v>11</v>
      </c>
    </row>
    <row r="21" spans="1:8" x14ac:dyDescent="0.25">
      <c r="A21" s="2">
        <v>44228</v>
      </c>
      <c r="B21" s="1">
        <v>2021</v>
      </c>
      <c r="C21" s="1">
        <v>2</v>
      </c>
      <c r="D21" s="1">
        <v>60.363636363636374</v>
      </c>
      <c r="E21" s="1" t="s">
        <v>11</v>
      </c>
    </row>
    <row r="22" spans="1:8" x14ac:dyDescent="0.25">
      <c r="A22" s="2">
        <v>44256</v>
      </c>
      <c r="B22" s="1">
        <v>2021</v>
      </c>
      <c r="C22" s="1">
        <v>3</v>
      </c>
      <c r="D22" s="1">
        <v>73.05</v>
      </c>
      <c r="E22" s="1" t="s">
        <v>11</v>
      </c>
    </row>
    <row r="23" spans="1:8" x14ac:dyDescent="0.25">
      <c r="A23" s="2">
        <v>44287</v>
      </c>
      <c r="B23" s="1">
        <v>2021</v>
      </c>
      <c r="C23" s="1">
        <v>4</v>
      </c>
      <c r="D23" s="1">
        <v>56.220000000000006</v>
      </c>
      <c r="E23" s="1" t="s">
        <v>11</v>
      </c>
    </row>
    <row r="24" spans="1:8" x14ac:dyDescent="0.25">
      <c r="A24" s="2">
        <v>44317</v>
      </c>
      <c r="B24" s="1">
        <v>2021</v>
      </c>
      <c r="C24" s="1">
        <v>5</v>
      </c>
      <c r="D24" s="1">
        <v>57.980000000000004</v>
      </c>
      <c r="E24" s="1" t="s">
        <v>11</v>
      </c>
    </row>
    <row r="25" spans="1:8" x14ac:dyDescent="0.25">
      <c r="A25" s="2">
        <v>44348</v>
      </c>
      <c r="B25" s="1">
        <v>2021</v>
      </c>
      <c r="C25" s="1">
        <v>6</v>
      </c>
      <c r="D25" s="1">
        <v>57.42</v>
      </c>
      <c r="E25" s="1" t="s">
        <v>11</v>
      </c>
    </row>
    <row r="26" spans="1:8" x14ac:dyDescent="0.25">
      <c r="A26" s="2">
        <v>44378</v>
      </c>
      <c r="B26" s="1">
        <v>2021</v>
      </c>
      <c r="C26" s="1">
        <v>7</v>
      </c>
      <c r="D26" s="1">
        <v>61.792307692307702</v>
      </c>
      <c r="E26" s="1" t="s">
        <v>11</v>
      </c>
    </row>
    <row r="27" spans="1:8" x14ac:dyDescent="0.25">
      <c r="A27" s="2">
        <v>44409</v>
      </c>
      <c r="B27" s="1">
        <v>2021</v>
      </c>
      <c r="C27" s="1">
        <v>8</v>
      </c>
      <c r="D27" s="1">
        <v>62.96</v>
      </c>
      <c r="E27" s="1" t="s">
        <v>11</v>
      </c>
    </row>
    <row r="28" spans="1:8" x14ac:dyDescent="0.25">
      <c r="A28" s="2">
        <v>44440</v>
      </c>
      <c r="B28" s="1">
        <v>2021</v>
      </c>
      <c r="C28" s="1">
        <v>9</v>
      </c>
      <c r="D28" s="1">
        <v>64.400000000000006</v>
      </c>
      <c r="E28" s="1" t="s">
        <v>11</v>
      </c>
    </row>
    <row r="29" spans="1:8" x14ac:dyDescent="0.25">
      <c r="A29" s="2">
        <v>44470</v>
      </c>
      <c r="B29" s="1">
        <v>2021</v>
      </c>
      <c r="C29" s="1">
        <v>10</v>
      </c>
      <c r="D29" s="1">
        <v>64.599999999999994</v>
      </c>
      <c r="E29" s="1" t="s">
        <v>11</v>
      </c>
    </row>
    <row r="30" spans="1:8" x14ac:dyDescent="0.25">
      <c r="A30" s="2">
        <v>44501</v>
      </c>
      <c r="B30" s="1">
        <v>2021</v>
      </c>
      <c r="C30" s="1">
        <v>11</v>
      </c>
      <c r="D30" s="1">
        <v>63.425000000000004</v>
      </c>
      <c r="E30" s="1" t="s">
        <v>11</v>
      </c>
    </row>
    <row r="31" spans="1:8" x14ac:dyDescent="0.25">
      <c r="A31" s="2">
        <v>44531</v>
      </c>
      <c r="B31" s="1">
        <v>2021</v>
      </c>
      <c r="C31" s="1">
        <v>12</v>
      </c>
      <c r="D31" s="1">
        <v>62.70000000000001</v>
      </c>
      <c r="E31" s="1" t="s">
        <v>11</v>
      </c>
    </row>
    <row r="32" spans="1:8" x14ac:dyDescent="0.25">
      <c r="A32" s="2">
        <v>44562</v>
      </c>
      <c r="B32" s="1">
        <v>2022</v>
      </c>
      <c r="C32" s="1">
        <v>1</v>
      </c>
      <c r="D32" s="1">
        <v>29335.21</v>
      </c>
      <c r="E32" s="1" t="s">
        <v>8</v>
      </c>
    </row>
    <row r="33" spans="1:5" x14ac:dyDescent="0.25">
      <c r="A33" s="2">
        <v>44562</v>
      </c>
      <c r="B33" s="1">
        <v>2022</v>
      </c>
      <c r="C33" s="1">
        <v>1</v>
      </c>
      <c r="D33" s="1">
        <v>412.3368000000001</v>
      </c>
      <c r="E33" s="1" t="s">
        <v>9</v>
      </c>
    </row>
    <row r="34" spans="1:5" x14ac:dyDescent="0.25">
      <c r="A34" s="2">
        <v>44562</v>
      </c>
      <c r="B34" s="1">
        <v>2022</v>
      </c>
      <c r="C34" s="1">
        <v>1</v>
      </c>
      <c r="D34" s="1">
        <v>53.220000000000006</v>
      </c>
      <c r="E34" s="1" t="s">
        <v>11</v>
      </c>
    </row>
    <row r="35" spans="1:5" x14ac:dyDescent="0.25">
      <c r="A35" s="2">
        <v>44593</v>
      </c>
      <c r="B35" s="1">
        <v>2022</v>
      </c>
      <c r="C35" s="1">
        <v>2</v>
      </c>
      <c r="D35" s="1">
        <v>29856.21</v>
      </c>
      <c r="E35" s="1" t="s">
        <v>8</v>
      </c>
    </row>
    <row r="36" spans="1:5" x14ac:dyDescent="0.25">
      <c r="A36" s="2">
        <v>44593</v>
      </c>
      <c r="B36" s="1">
        <v>2022</v>
      </c>
      <c r="C36" s="1">
        <v>2</v>
      </c>
      <c r="D36" s="1">
        <v>417.49440000000004</v>
      </c>
      <c r="E36" s="1" t="s">
        <v>9</v>
      </c>
    </row>
    <row r="37" spans="1:5" x14ac:dyDescent="0.25">
      <c r="A37" s="2">
        <v>44593</v>
      </c>
      <c r="B37" s="1">
        <v>2022</v>
      </c>
      <c r="C37" s="1">
        <v>2</v>
      </c>
      <c r="D37" s="1">
        <v>53.150000000000006</v>
      </c>
      <c r="E37" s="1" t="s">
        <v>11</v>
      </c>
    </row>
    <row r="38" spans="1:5" x14ac:dyDescent="0.25">
      <c r="A38" s="2">
        <v>44621</v>
      </c>
      <c r="B38" s="1">
        <v>2022</v>
      </c>
      <c r="C38" s="1">
        <v>3</v>
      </c>
      <c r="D38" s="1">
        <v>28415.21</v>
      </c>
      <c r="E38" s="1" t="s">
        <v>8</v>
      </c>
    </row>
    <row r="39" spans="1:5" x14ac:dyDescent="0.25">
      <c r="A39" s="2">
        <v>44621</v>
      </c>
      <c r="B39" s="1">
        <v>2022</v>
      </c>
      <c r="C39" s="1">
        <v>3</v>
      </c>
      <c r="D39" s="1">
        <v>445.44960000000003</v>
      </c>
      <c r="E39" s="1" t="s">
        <v>9</v>
      </c>
    </row>
    <row r="40" spans="1:5" x14ac:dyDescent="0.25">
      <c r="A40" s="2">
        <v>44621</v>
      </c>
      <c r="B40" s="1">
        <v>2022</v>
      </c>
      <c r="C40" s="1">
        <v>3</v>
      </c>
      <c r="D40" s="1">
        <v>57.022222222222226</v>
      </c>
      <c r="E40" s="1" t="s">
        <v>11</v>
      </c>
    </row>
    <row r="41" spans="1:5" x14ac:dyDescent="0.25">
      <c r="A41" s="2">
        <v>44652</v>
      </c>
      <c r="B41" s="1">
        <v>2022</v>
      </c>
      <c r="C41" s="1">
        <v>4</v>
      </c>
      <c r="D41" s="1">
        <v>27429.21</v>
      </c>
      <c r="E41" s="1" t="s">
        <v>8</v>
      </c>
    </row>
    <row r="42" spans="1:5" x14ac:dyDescent="0.25">
      <c r="A42" s="2">
        <v>44652</v>
      </c>
      <c r="B42" s="1">
        <v>2022</v>
      </c>
      <c r="C42" s="1">
        <v>4</v>
      </c>
      <c r="D42" s="1">
        <v>520.46160000000009</v>
      </c>
      <c r="E42" s="1" t="s">
        <v>9</v>
      </c>
    </row>
    <row r="43" spans="1:5" x14ac:dyDescent="0.25">
      <c r="A43" s="2">
        <v>44652</v>
      </c>
      <c r="B43" s="1">
        <v>2022</v>
      </c>
      <c r="C43" s="1">
        <v>4</v>
      </c>
      <c r="D43" s="1">
        <v>53.912500000000001</v>
      </c>
      <c r="E43" s="1" t="s">
        <v>11</v>
      </c>
    </row>
    <row r="44" spans="1:5" x14ac:dyDescent="0.25">
      <c r="A44" s="2">
        <v>44682</v>
      </c>
      <c r="B44" s="1">
        <v>2022</v>
      </c>
      <c r="C44" s="1">
        <v>5</v>
      </c>
      <c r="D44" s="1">
        <v>26556.71</v>
      </c>
      <c r="E44" s="1" t="s">
        <v>8</v>
      </c>
    </row>
    <row r="45" spans="1:5" x14ac:dyDescent="0.25">
      <c r="A45" s="2">
        <v>44682</v>
      </c>
      <c r="B45" s="1">
        <v>2022</v>
      </c>
      <c r="C45" s="1">
        <v>5</v>
      </c>
      <c r="D45" s="1">
        <v>550.29840000000002</v>
      </c>
      <c r="E45" s="1" t="s">
        <v>9</v>
      </c>
    </row>
    <row r="46" spans="1:5" x14ac:dyDescent="0.25">
      <c r="A46" s="2">
        <v>44682</v>
      </c>
      <c r="B46" s="1">
        <v>2022</v>
      </c>
      <c r="C46" s="1">
        <v>5</v>
      </c>
      <c r="D46" s="1">
        <v>52.83</v>
      </c>
      <c r="E46" s="1" t="s">
        <v>11</v>
      </c>
    </row>
    <row r="47" spans="1:5" x14ac:dyDescent="0.25">
      <c r="A47" s="2">
        <v>44713</v>
      </c>
      <c r="B47" s="1">
        <v>2022</v>
      </c>
      <c r="C47" s="1">
        <v>6</v>
      </c>
      <c r="D47" s="1">
        <v>24503.21</v>
      </c>
      <c r="E47" s="1" t="s">
        <v>8</v>
      </c>
    </row>
    <row r="48" spans="1:5" x14ac:dyDescent="0.25">
      <c r="A48" s="2">
        <v>44713</v>
      </c>
      <c r="B48" s="1">
        <v>2022</v>
      </c>
      <c r="C48" s="1">
        <v>6</v>
      </c>
      <c r="D48" s="1">
        <v>575.70000000000005</v>
      </c>
      <c r="E48" s="1" t="s">
        <v>9</v>
      </c>
    </row>
    <row r="49" spans="1:5" x14ac:dyDescent="0.25">
      <c r="A49" s="2">
        <v>44713</v>
      </c>
      <c r="B49" s="1">
        <v>2022</v>
      </c>
      <c r="C49" s="1">
        <v>6</v>
      </c>
      <c r="D49" s="1">
        <v>44.785714285714292</v>
      </c>
      <c r="E49" s="1" t="s">
        <v>11</v>
      </c>
    </row>
    <row r="50" spans="1:5" x14ac:dyDescent="0.25">
      <c r="A50" s="2">
        <v>44743</v>
      </c>
      <c r="B50" s="1">
        <v>2022</v>
      </c>
      <c r="C50" s="1">
        <v>7</v>
      </c>
      <c r="D50" s="1">
        <v>21407.21</v>
      </c>
      <c r="E50" s="1" t="s">
        <v>8</v>
      </c>
    </row>
    <row r="51" spans="1:5" x14ac:dyDescent="0.25">
      <c r="A51" s="2">
        <v>44743</v>
      </c>
      <c r="B51" s="1">
        <v>2022</v>
      </c>
      <c r="C51" s="1">
        <v>7</v>
      </c>
      <c r="D51" s="1">
        <v>583.78080000000011</v>
      </c>
      <c r="E51" s="1" t="s">
        <v>9</v>
      </c>
    </row>
    <row r="52" spans="1:5" x14ac:dyDescent="0.25">
      <c r="A52" s="2">
        <v>44743</v>
      </c>
      <c r="B52" s="1">
        <v>2022</v>
      </c>
      <c r="C52" s="1">
        <v>7</v>
      </c>
      <c r="D52" s="1">
        <v>44.75</v>
      </c>
      <c r="E52" s="1" t="s">
        <v>11</v>
      </c>
    </row>
    <row r="53" spans="1:5" x14ac:dyDescent="0.25">
      <c r="A53" s="2">
        <v>44774</v>
      </c>
      <c r="B53" s="1">
        <v>2022</v>
      </c>
      <c r="C53" s="1">
        <v>8</v>
      </c>
      <c r="D53" s="1">
        <v>19906.21</v>
      </c>
      <c r="E53" s="1" t="s">
        <v>8</v>
      </c>
    </row>
    <row r="54" spans="1:5" x14ac:dyDescent="0.25">
      <c r="A54" s="2">
        <v>44774</v>
      </c>
      <c r="B54" s="1">
        <v>2022</v>
      </c>
      <c r="C54" s="1">
        <v>8</v>
      </c>
      <c r="D54" s="1">
        <v>597.6576</v>
      </c>
      <c r="E54" s="1" t="s">
        <v>9</v>
      </c>
    </row>
    <row r="55" spans="1:5" x14ac:dyDescent="0.25">
      <c r="A55" s="2">
        <v>44774</v>
      </c>
      <c r="B55" s="1">
        <v>2022</v>
      </c>
      <c r="C55" s="1">
        <v>8</v>
      </c>
      <c r="D55" s="1">
        <v>44.8</v>
      </c>
      <c r="E55" s="1" t="s">
        <v>11</v>
      </c>
    </row>
    <row r="56" spans="1:5" x14ac:dyDescent="0.25">
      <c r="A56" s="2">
        <v>44805</v>
      </c>
      <c r="B56" s="1">
        <v>2022</v>
      </c>
      <c r="C56" s="1">
        <v>9</v>
      </c>
      <c r="D56" s="1">
        <v>19601.21</v>
      </c>
      <c r="E56" s="1" t="s">
        <v>8</v>
      </c>
    </row>
    <row r="57" spans="1:5" x14ac:dyDescent="0.25">
      <c r="A57" s="2">
        <v>44805</v>
      </c>
      <c r="B57" s="1">
        <v>2022</v>
      </c>
      <c r="C57" s="1">
        <v>9</v>
      </c>
      <c r="D57" s="1">
        <v>574.96080000000006</v>
      </c>
      <c r="E57" s="1" t="s">
        <v>9</v>
      </c>
    </row>
    <row r="58" spans="1:5" x14ac:dyDescent="0.25">
      <c r="A58" s="2">
        <v>44805</v>
      </c>
      <c r="B58" s="1">
        <v>2022</v>
      </c>
      <c r="C58" s="1">
        <v>9</v>
      </c>
      <c r="D58" s="1">
        <v>60.6</v>
      </c>
      <c r="E58" s="1" t="s">
        <v>11</v>
      </c>
    </row>
    <row r="59" spans="1:5" x14ac:dyDescent="0.25">
      <c r="A59" s="2">
        <v>44835</v>
      </c>
      <c r="B59" s="1">
        <v>2022</v>
      </c>
      <c r="C59" s="1">
        <v>10</v>
      </c>
      <c r="D59" s="1">
        <v>98.75</v>
      </c>
      <c r="E59" s="1" t="s">
        <v>10</v>
      </c>
    </row>
    <row r="60" spans="1:5" x14ac:dyDescent="0.25">
      <c r="A60" s="2">
        <v>44835</v>
      </c>
      <c r="B60" s="1">
        <v>2022</v>
      </c>
      <c r="C60" s="1">
        <v>10</v>
      </c>
      <c r="D60" s="1">
        <v>19044.71</v>
      </c>
      <c r="E60" s="1" t="s">
        <v>8</v>
      </c>
    </row>
    <row r="61" spans="1:5" x14ac:dyDescent="0.25">
      <c r="A61" s="2">
        <v>44835</v>
      </c>
      <c r="B61" s="1">
        <v>2022</v>
      </c>
      <c r="C61" s="1">
        <v>10</v>
      </c>
      <c r="D61" s="1">
        <v>518.27760000000001</v>
      </c>
      <c r="E61" s="1" t="s">
        <v>9</v>
      </c>
    </row>
    <row r="62" spans="1:5" x14ac:dyDescent="0.25">
      <c r="A62" s="2">
        <v>44835</v>
      </c>
      <c r="B62" s="1">
        <v>2022</v>
      </c>
      <c r="C62" s="1">
        <v>10</v>
      </c>
      <c r="D62" s="1">
        <v>47.3</v>
      </c>
      <c r="E62" s="1" t="s">
        <v>11</v>
      </c>
    </row>
    <row r="63" spans="1:5" x14ac:dyDescent="0.25">
      <c r="A63" s="2">
        <v>44866</v>
      </c>
      <c r="B63" s="1">
        <v>2022</v>
      </c>
      <c r="C63" s="1">
        <v>11</v>
      </c>
      <c r="D63" s="1">
        <v>103.72554347826087</v>
      </c>
      <c r="E63" s="1" t="s">
        <v>10</v>
      </c>
    </row>
    <row r="64" spans="1:5" x14ac:dyDescent="0.25">
      <c r="A64" s="2">
        <v>44866</v>
      </c>
      <c r="B64" s="1">
        <v>2022</v>
      </c>
      <c r="C64" s="1">
        <v>11</v>
      </c>
      <c r="D64" s="1">
        <v>16646.21</v>
      </c>
      <c r="E64" s="1" t="s">
        <v>8</v>
      </c>
    </row>
    <row r="65" spans="1:5" x14ac:dyDescent="0.25">
      <c r="A65" s="2">
        <v>44866</v>
      </c>
      <c r="B65" s="1">
        <v>2022</v>
      </c>
      <c r="C65" s="1">
        <v>11</v>
      </c>
      <c r="D65" s="1">
        <v>485.48400000000009</v>
      </c>
      <c r="E65" s="1" t="s">
        <v>9</v>
      </c>
    </row>
    <row r="66" spans="1:5" x14ac:dyDescent="0.25">
      <c r="A66" s="2">
        <v>44866</v>
      </c>
      <c r="B66" s="1">
        <v>2022</v>
      </c>
      <c r="C66" s="1">
        <v>11</v>
      </c>
      <c r="D66" s="1">
        <v>36.700000000000003</v>
      </c>
      <c r="E66" s="1" t="s">
        <v>11</v>
      </c>
    </row>
    <row r="67" spans="1:5" x14ac:dyDescent="0.25">
      <c r="A67" s="2">
        <v>44896</v>
      </c>
      <c r="B67" s="1">
        <v>2022</v>
      </c>
      <c r="C67" s="1">
        <v>12</v>
      </c>
      <c r="D67" s="1">
        <v>103.6875</v>
      </c>
      <c r="E67" s="1" t="s">
        <v>10</v>
      </c>
    </row>
    <row r="68" spans="1:5" x14ac:dyDescent="0.25">
      <c r="A68" s="2">
        <v>44896</v>
      </c>
      <c r="B68" s="1">
        <v>2022</v>
      </c>
      <c r="C68" s="1">
        <v>12</v>
      </c>
      <c r="D68" s="1">
        <v>15956.21</v>
      </c>
      <c r="E68" s="1" t="s">
        <v>8</v>
      </c>
    </row>
    <row r="69" spans="1:5" x14ac:dyDescent="0.25">
      <c r="A69" s="2">
        <v>44896</v>
      </c>
      <c r="B69" s="1">
        <v>2022</v>
      </c>
      <c r="C69" s="1">
        <v>12</v>
      </c>
      <c r="D69" s="1">
        <v>471.17039999999997</v>
      </c>
      <c r="E69" s="1" t="s">
        <v>9</v>
      </c>
    </row>
    <row r="70" spans="1:5" x14ac:dyDescent="0.25">
      <c r="A70" s="2">
        <v>44896</v>
      </c>
      <c r="B70" s="1">
        <v>2022</v>
      </c>
      <c r="C70" s="1">
        <v>12</v>
      </c>
      <c r="D70" s="1">
        <v>36.700000000000003</v>
      </c>
      <c r="E70" s="1" t="s">
        <v>11</v>
      </c>
    </row>
    <row r="71" spans="1:5" x14ac:dyDescent="0.25">
      <c r="A71" s="2">
        <v>44927</v>
      </c>
      <c r="B71" s="1">
        <v>2023</v>
      </c>
      <c r="C71" s="1">
        <v>1</v>
      </c>
      <c r="D71" s="1">
        <v>109.21250000000001</v>
      </c>
      <c r="E71" s="1" t="s">
        <v>10</v>
      </c>
    </row>
    <row r="72" spans="1:5" x14ac:dyDescent="0.25">
      <c r="A72" s="2">
        <v>44927</v>
      </c>
      <c r="B72" s="1">
        <v>2023</v>
      </c>
      <c r="C72" s="1">
        <v>1</v>
      </c>
      <c r="D72" s="1">
        <v>15900.131000000001</v>
      </c>
      <c r="E72" s="1" t="s">
        <v>8</v>
      </c>
    </row>
    <row r="73" spans="1:5" x14ac:dyDescent="0.25">
      <c r="A73" s="2">
        <v>44927</v>
      </c>
      <c r="B73" s="1">
        <v>2023</v>
      </c>
      <c r="C73" s="1">
        <v>1</v>
      </c>
      <c r="D73" s="1">
        <v>455.31119999999999</v>
      </c>
      <c r="E73" s="1" t="s">
        <v>9</v>
      </c>
    </row>
    <row r="74" spans="1:5" x14ac:dyDescent="0.25">
      <c r="A74" s="2">
        <v>44927</v>
      </c>
      <c r="B74" s="1">
        <v>2023</v>
      </c>
      <c r="C74" s="1">
        <v>1</v>
      </c>
      <c r="D74" s="1">
        <v>36.475000000000001</v>
      </c>
      <c r="E74" s="1" t="s">
        <v>11</v>
      </c>
    </row>
    <row r="75" spans="1:5" x14ac:dyDescent="0.25">
      <c r="A75" s="2">
        <v>44958</v>
      </c>
      <c r="B75" s="1">
        <v>2023</v>
      </c>
      <c r="C75" s="1">
        <v>2</v>
      </c>
      <c r="D75" s="1">
        <v>111.075</v>
      </c>
      <c r="E75" s="1" t="s">
        <v>10</v>
      </c>
    </row>
    <row r="76" spans="1:5" x14ac:dyDescent="0.25">
      <c r="A76" s="2">
        <v>44958</v>
      </c>
      <c r="B76" s="1">
        <v>2023</v>
      </c>
      <c r="C76" s="1">
        <v>2</v>
      </c>
      <c r="D76" s="1">
        <v>16425.131000000001</v>
      </c>
      <c r="E76" s="1" t="s">
        <v>8</v>
      </c>
    </row>
    <row r="77" spans="1:5" x14ac:dyDescent="0.25">
      <c r="A77" s="2">
        <v>44958</v>
      </c>
      <c r="B77" s="1">
        <v>2023</v>
      </c>
      <c r="C77" s="1">
        <v>2</v>
      </c>
      <c r="D77" s="1">
        <v>438.09120000000001</v>
      </c>
      <c r="E77" s="1" t="s">
        <v>9</v>
      </c>
    </row>
    <row r="78" spans="1:5" x14ac:dyDescent="0.25">
      <c r="A78" s="2">
        <v>44958</v>
      </c>
      <c r="B78" s="1">
        <v>2023</v>
      </c>
      <c r="C78" s="1">
        <v>2</v>
      </c>
      <c r="D78" s="1">
        <v>42.653846153846146</v>
      </c>
      <c r="E78" s="1" t="s">
        <v>11</v>
      </c>
    </row>
    <row r="79" spans="1:5" x14ac:dyDescent="0.25">
      <c r="A79" s="2">
        <v>44986</v>
      </c>
      <c r="B79" s="1">
        <v>2023</v>
      </c>
      <c r="C79" s="1">
        <v>3</v>
      </c>
      <c r="D79" s="1">
        <v>110.31158243929983</v>
      </c>
      <c r="E79" s="1" t="s">
        <v>10</v>
      </c>
    </row>
    <row r="80" spans="1:5" x14ac:dyDescent="0.25">
      <c r="A80" s="2">
        <v>44986</v>
      </c>
      <c r="B80" s="1">
        <v>2023</v>
      </c>
      <c r="C80" s="1">
        <v>3</v>
      </c>
      <c r="D80" s="1">
        <v>15838.630999999999</v>
      </c>
      <c r="E80" s="1" t="s">
        <v>8</v>
      </c>
    </row>
    <row r="81" spans="1:5" x14ac:dyDescent="0.25">
      <c r="A81" s="2">
        <v>44986</v>
      </c>
      <c r="B81" s="1">
        <v>2023</v>
      </c>
      <c r="C81" s="1">
        <v>3</v>
      </c>
      <c r="D81" s="1">
        <v>423.64320000000009</v>
      </c>
      <c r="E81" s="1" t="s">
        <v>9</v>
      </c>
    </row>
    <row r="82" spans="1:5" x14ac:dyDescent="0.25">
      <c r="A82" s="2">
        <v>44986</v>
      </c>
      <c r="B82" s="1">
        <v>2023</v>
      </c>
      <c r="C82" s="1">
        <v>3</v>
      </c>
      <c r="D82" s="1">
        <v>43.150000000000006</v>
      </c>
      <c r="E82" s="1" t="s">
        <v>11</v>
      </c>
    </row>
    <row r="83" spans="1:5" x14ac:dyDescent="0.25">
      <c r="A83" s="2">
        <v>45017</v>
      </c>
      <c r="B83" s="1">
        <v>2023</v>
      </c>
      <c r="C83" s="1">
        <v>4</v>
      </c>
      <c r="D83" s="1">
        <v>114.65</v>
      </c>
      <c r="E83" s="1" t="s">
        <v>10</v>
      </c>
    </row>
    <row r="84" spans="1:5" x14ac:dyDescent="0.25">
      <c r="A84" s="2">
        <v>45017</v>
      </c>
      <c r="B84" s="1">
        <v>2023</v>
      </c>
      <c r="C84" s="1">
        <v>4</v>
      </c>
      <c r="D84" s="1">
        <v>16838.631000000001</v>
      </c>
      <c r="E84" s="1" t="s">
        <v>8</v>
      </c>
    </row>
    <row r="85" spans="1:5" x14ac:dyDescent="0.25">
      <c r="A85" s="2">
        <v>45017</v>
      </c>
      <c r="B85" s="1">
        <v>2023</v>
      </c>
      <c r="C85" s="1">
        <v>4</v>
      </c>
      <c r="D85" s="1">
        <v>420.13200000000012</v>
      </c>
      <c r="E85" s="1" t="s">
        <v>9</v>
      </c>
    </row>
    <row r="86" spans="1:5" x14ac:dyDescent="0.25">
      <c r="A86" s="2">
        <v>45017</v>
      </c>
      <c r="B86" s="1">
        <v>2023</v>
      </c>
      <c r="C86" s="1">
        <v>4</v>
      </c>
      <c r="D86" s="1">
        <v>38.199999999999996</v>
      </c>
      <c r="E86" s="1" t="s">
        <v>11</v>
      </c>
    </row>
    <row r="87" spans="1:5" x14ac:dyDescent="0.25">
      <c r="A87" s="2">
        <v>45021</v>
      </c>
      <c r="B87" s="1">
        <v>2023</v>
      </c>
      <c r="C87" s="1">
        <v>4</v>
      </c>
      <c r="D87" s="1">
        <v>10.473796185661771</v>
      </c>
      <c r="E87" s="1" t="s">
        <v>131</v>
      </c>
    </row>
    <row r="88" spans="1:5" x14ac:dyDescent="0.25">
      <c r="A88" s="2">
        <v>45035</v>
      </c>
      <c r="B88" s="1">
        <v>2023</v>
      </c>
      <c r="C88" s="1">
        <v>4</v>
      </c>
      <c r="D88" s="1">
        <v>11.111391544117653</v>
      </c>
      <c r="E88" s="1" t="s">
        <v>131</v>
      </c>
    </row>
    <row r="89" spans="1:5" x14ac:dyDescent="0.25">
      <c r="A89" s="2">
        <v>45042</v>
      </c>
      <c r="B89" s="1">
        <v>2023</v>
      </c>
      <c r="C89" s="1">
        <v>4</v>
      </c>
      <c r="D89" s="1">
        <v>11.483609375000007</v>
      </c>
      <c r="E89" s="1" t="s">
        <v>131</v>
      </c>
    </row>
    <row r="90" spans="1:5" x14ac:dyDescent="0.25">
      <c r="A90" s="2">
        <v>45047</v>
      </c>
      <c r="B90" s="1">
        <v>2023</v>
      </c>
      <c r="C90" s="1">
        <v>5</v>
      </c>
      <c r="D90" s="1">
        <v>17641.131000000001</v>
      </c>
      <c r="E90" s="1" t="s">
        <v>8</v>
      </c>
    </row>
    <row r="91" spans="1:5" x14ac:dyDescent="0.25">
      <c r="A91" s="2">
        <v>45047</v>
      </c>
      <c r="B91" s="1">
        <v>2023</v>
      </c>
      <c r="C91" s="1">
        <v>5</v>
      </c>
      <c r="D91" s="1">
        <v>113.375</v>
      </c>
      <c r="E91" s="1" t="s">
        <v>10</v>
      </c>
    </row>
    <row r="92" spans="1:5" x14ac:dyDescent="0.25">
      <c r="A92" s="2">
        <v>45047</v>
      </c>
      <c r="B92" s="1">
        <v>2023</v>
      </c>
      <c r="C92" s="1">
        <v>5</v>
      </c>
      <c r="D92" s="1">
        <v>423.55920000000009</v>
      </c>
      <c r="E92" s="1" t="s">
        <v>9</v>
      </c>
    </row>
    <row r="93" spans="1:5" x14ac:dyDescent="0.25">
      <c r="A93" s="2">
        <v>45047</v>
      </c>
      <c r="B93" s="1">
        <v>2023</v>
      </c>
      <c r="C93" s="1">
        <v>5</v>
      </c>
      <c r="D93" s="1">
        <v>39.6</v>
      </c>
      <c r="E93" s="1" t="s">
        <v>11</v>
      </c>
    </row>
    <row r="94" spans="1:5" x14ac:dyDescent="0.25">
      <c r="A94" s="2">
        <v>45051</v>
      </c>
      <c r="B94" s="1">
        <v>2023</v>
      </c>
      <c r="C94" s="1">
        <v>5</v>
      </c>
      <c r="D94" s="1">
        <v>-77.305286566828045</v>
      </c>
      <c r="E94" s="1" t="s">
        <v>12</v>
      </c>
    </row>
    <row r="95" spans="1:5" x14ac:dyDescent="0.25">
      <c r="A95" s="2">
        <v>45051</v>
      </c>
      <c r="B95" s="1">
        <v>2023</v>
      </c>
      <c r="C95" s="1">
        <v>5</v>
      </c>
      <c r="D95" s="1">
        <v>2204.6608571428569</v>
      </c>
      <c r="E95" s="1" t="s">
        <v>130</v>
      </c>
    </row>
    <row r="96" spans="1:5" x14ac:dyDescent="0.25">
      <c r="A96" s="2">
        <v>45058</v>
      </c>
      <c r="B96" s="1">
        <v>2023</v>
      </c>
      <c r="C96" s="1">
        <v>5</v>
      </c>
      <c r="D96" s="1">
        <v>2848.2768571428569</v>
      </c>
      <c r="E96" s="1" t="s">
        <v>130</v>
      </c>
    </row>
    <row r="97" spans="1:5" x14ac:dyDescent="0.25">
      <c r="A97" s="2">
        <v>45063</v>
      </c>
      <c r="B97" s="1">
        <v>2023</v>
      </c>
      <c r="C97" s="1">
        <v>5</v>
      </c>
      <c r="D97" s="1">
        <v>11.014890625000008</v>
      </c>
      <c r="E97" s="1" t="s">
        <v>131</v>
      </c>
    </row>
    <row r="98" spans="1:5" x14ac:dyDescent="0.25">
      <c r="A98" s="2">
        <v>45065</v>
      </c>
      <c r="B98" s="1">
        <v>2023</v>
      </c>
      <c r="C98" s="1">
        <v>5</v>
      </c>
      <c r="D98" s="1">
        <v>3580.7248571428572</v>
      </c>
      <c r="E98" s="1" t="s">
        <v>130</v>
      </c>
    </row>
    <row r="99" spans="1:5" x14ac:dyDescent="0.25">
      <c r="A99" s="2">
        <v>45070</v>
      </c>
      <c r="B99" s="1">
        <v>2023</v>
      </c>
      <c r="C99" s="1">
        <v>5</v>
      </c>
      <c r="D99" s="1">
        <v>11.814469669117656</v>
      </c>
      <c r="E99" s="1" t="s">
        <v>131</v>
      </c>
    </row>
    <row r="100" spans="1:5" x14ac:dyDescent="0.25">
      <c r="A100" s="2">
        <v>45072</v>
      </c>
      <c r="B100" s="1">
        <v>2023</v>
      </c>
      <c r="C100" s="1">
        <v>5</v>
      </c>
      <c r="D100" s="1">
        <v>3713.5008571428589</v>
      </c>
      <c r="E100" s="1" t="s">
        <v>130</v>
      </c>
    </row>
    <row r="101" spans="1:5" x14ac:dyDescent="0.25">
      <c r="A101" s="2">
        <v>45077</v>
      </c>
      <c r="B101" s="1">
        <v>2023</v>
      </c>
      <c r="C101" s="1">
        <v>5</v>
      </c>
      <c r="D101" s="1">
        <v>10.909199142156869</v>
      </c>
      <c r="E101" s="1" t="s">
        <v>131</v>
      </c>
    </row>
    <row r="102" spans="1:5" x14ac:dyDescent="0.25">
      <c r="A102" s="2">
        <v>45078</v>
      </c>
      <c r="B102" s="1">
        <v>2023</v>
      </c>
      <c r="C102" s="1">
        <v>6</v>
      </c>
      <c r="D102" s="1">
        <v>412</v>
      </c>
      <c r="E102" s="1" t="s">
        <v>9</v>
      </c>
    </row>
    <row r="103" spans="1:5" x14ac:dyDescent="0.25">
      <c r="A103" s="2">
        <v>45078</v>
      </c>
      <c r="B103" s="1">
        <v>2023</v>
      </c>
      <c r="C103" s="1">
        <v>6</v>
      </c>
      <c r="D103" s="1">
        <v>42.300000000000004</v>
      </c>
      <c r="E103" s="1" t="s">
        <v>11</v>
      </c>
    </row>
    <row r="104" spans="1:5" x14ac:dyDescent="0.25">
      <c r="A104" s="2">
        <v>45078</v>
      </c>
      <c r="B104" s="1">
        <v>2023</v>
      </c>
      <c r="C104" s="1">
        <v>6</v>
      </c>
      <c r="D104" s="1">
        <v>113.63095238095238</v>
      </c>
      <c r="E104" s="1" t="s">
        <v>10</v>
      </c>
    </row>
    <row r="105" spans="1:5" x14ac:dyDescent="0.25">
      <c r="A105" s="2">
        <v>45078</v>
      </c>
      <c r="B105" s="1">
        <v>2023</v>
      </c>
      <c r="C105" s="1">
        <v>6</v>
      </c>
      <c r="D105" s="1">
        <v>17207.631000000001</v>
      </c>
      <c r="E105" s="1" t="s">
        <v>8</v>
      </c>
    </row>
    <row r="106" spans="1:5" x14ac:dyDescent="0.25">
      <c r="A106" s="2">
        <v>45079</v>
      </c>
      <c r="B106" s="1">
        <v>2023</v>
      </c>
      <c r="C106" s="1">
        <v>6</v>
      </c>
      <c r="D106" s="1">
        <v>5150.1442285714311</v>
      </c>
      <c r="E106" s="1" t="s">
        <v>130</v>
      </c>
    </row>
    <row r="107" spans="1:5" x14ac:dyDescent="0.25">
      <c r="A107" s="2">
        <v>45086</v>
      </c>
      <c r="B107" s="1">
        <v>2023</v>
      </c>
      <c r="C107" s="1">
        <v>6</v>
      </c>
      <c r="D107" s="1">
        <v>9.8460729294404672</v>
      </c>
      <c r="E107" s="1" t="s">
        <v>131</v>
      </c>
    </row>
    <row r="108" spans="1:5" x14ac:dyDescent="0.25">
      <c r="A108" s="2">
        <v>45086</v>
      </c>
      <c r="B108" s="1">
        <v>2023</v>
      </c>
      <c r="C108" s="1">
        <v>6</v>
      </c>
      <c r="D108" s="1">
        <v>-2.2644126571304923</v>
      </c>
      <c r="E108" s="1" t="s">
        <v>12</v>
      </c>
    </row>
    <row r="109" spans="1:5" x14ac:dyDescent="0.25">
      <c r="A109" s="2">
        <v>45086</v>
      </c>
      <c r="B109" s="1">
        <v>2023</v>
      </c>
      <c r="C109" s="1">
        <v>6</v>
      </c>
      <c r="D109" s="1">
        <v>5790.8685285714328</v>
      </c>
      <c r="E109" s="1" t="s">
        <v>130</v>
      </c>
    </row>
    <row r="110" spans="1:5" x14ac:dyDescent="0.25">
      <c r="A110" s="2">
        <v>45093</v>
      </c>
      <c r="B110" s="1">
        <v>2023</v>
      </c>
      <c r="C110" s="1">
        <v>6</v>
      </c>
      <c r="D110" s="1">
        <v>9.4092463856823301</v>
      </c>
      <c r="E110" s="1" t="s">
        <v>131</v>
      </c>
    </row>
    <row r="111" spans="1:5" x14ac:dyDescent="0.25">
      <c r="A111" s="2">
        <v>45093</v>
      </c>
      <c r="B111" s="1">
        <v>2023</v>
      </c>
      <c r="C111" s="1">
        <v>6</v>
      </c>
      <c r="D111" s="1">
        <v>6043.895971428572</v>
      </c>
      <c r="E111" s="1" t="s">
        <v>130</v>
      </c>
    </row>
    <row r="112" spans="1:5" x14ac:dyDescent="0.25">
      <c r="A112" s="2">
        <v>45100</v>
      </c>
      <c r="B112" s="1">
        <v>2023</v>
      </c>
      <c r="C112" s="1">
        <v>6</v>
      </c>
      <c r="D112" s="1">
        <v>44</v>
      </c>
      <c r="E112" s="1" t="s">
        <v>132</v>
      </c>
    </row>
    <row r="113" spans="1:5" x14ac:dyDescent="0.25">
      <c r="A113" s="2">
        <v>45100</v>
      </c>
      <c r="B113" s="1">
        <v>2023</v>
      </c>
      <c r="C113" s="1">
        <v>6</v>
      </c>
      <c r="D113" s="1">
        <v>9.4380293062360057</v>
      </c>
      <c r="E113" s="1" t="s">
        <v>131</v>
      </c>
    </row>
    <row r="114" spans="1:5" x14ac:dyDescent="0.25">
      <c r="A114" s="2">
        <v>45100</v>
      </c>
      <c r="B114" s="1">
        <v>2023</v>
      </c>
      <c r="C114" s="1">
        <v>6</v>
      </c>
      <c r="D114" s="1">
        <v>6284.1830428571466</v>
      </c>
      <c r="E114" s="1" t="s">
        <v>130</v>
      </c>
    </row>
    <row r="115" spans="1:5" x14ac:dyDescent="0.25">
      <c r="A115" s="2">
        <v>45100</v>
      </c>
      <c r="B115" s="1">
        <v>2023</v>
      </c>
      <c r="C115" s="1">
        <v>6</v>
      </c>
      <c r="D115" s="1">
        <v>90.5</v>
      </c>
      <c r="E115" s="1" t="s">
        <v>133</v>
      </c>
    </row>
    <row r="116" spans="1:5" x14ac:dyDescent="0.25">
      <c r="A116" s="2">
        <v>45107</v>
      </c>
      <c r="B116" s="1">
        <v>2023</v>
      </c>
      <c r="C116" s="1">
        <v>6</v>
      </c>
      <c r="D116" s="1">
        <v>8.9525274966152431</v>
      </c>
      <c r="E116" s="1" t="s">
        <v>131</v>
      </c>
    </row>
    <row r="117" spans="1:5" x14ac:dyDescent="0.25">
      <c r="A117" s="2">
        <v>45107</v>
      </c>
      <c r="B117" s="1">
        <v>2023</v>
      </c>
      <c r="C117" s="1">
        <v>6</v>
      </c>
      <c r="D117" s="1">
        <v>7157.1214857142895</v>
      </c>
      <c r="E117" s="1" t="s">
        <v>130</v>
      </c>
    </row>
    <row r="118" spans="1:5" x14ac:dyDescent="0.25">
      <c r="A118" s="2">
        <v>45107</v>
      </c>
      <c r="B118" s="1">
        <v>2023</v>
      </c>
      <c r="C118" s="1">
        <v>6</v>
      </c>
      <c r="D118" s="1">
        <v>37</v>
      </c>
      <c r="E118" s="1" t="s">
        <v>132</v>
      </c>
    </row>
    <row r="119" spans="1:5" x14ac:dyDescent="0.25">
      <c r="A119" s="2">
        <v>45107</v>
      </c>
      <c r="B119" s="1">
        <v>2023</v>
      </c>
      <c r="C119" s="1">
        <v>6</v>
      </c>
      <c r="D119" s="1">
        <v>79.5</v>
      </c>
      <c r="E119" s="1" t="s">
        <v>133</v>
      </c>
    </row>
    <row r="120" spans="1:5" x14ac:dyDescent="0.25">
      <c r="A120" s="2">
        <v>45108</v>
      </c>
      <c r="B120" s="1">
        <v>2023</v>
      </c>
      <c r="C120" s="1">
        <v>7</v>
      </c>
      <c r="D120" s="1">
        <v>14391.050581811671</v>
      </c>
      <c r="E120" s="1" t="s">
        <v>8</v>
      </c>
    </row>
    <row r="121" spans="1:5" x14ac:dyDescent="0.25">
      <c r="A121" s="2">
        <v>45108</v>
      </c>
      <c r="B121" s="1">
        <v>2023</v>
      </c>
      <c r="C121" s="1">
        <v>7</v>
      </c>
      <c r="D121" s="1">
        <v>406</v>
      </c>
      <c r="E121" s="1" t="s">
        <v>9</v>
      </c>
    </row>
    <row r="122" spans="1:5" x14ac:dyDescent="0.25">
      <c r="A122" s="2">
        <v>45108</v>
      </c>
      <c r="B122" s="1">
        <v>2023</v>
      </c>
      <c r="C122" s="1">
        <v>7</v>
      </c>
      <c r="D122" s="1">
        <v>112.625</v>
      </c>
      <c r="E122" s="1" t="s">
        <v>10</v>
      </c>
    </row>
    <row r="123" spans="1:5" x14ac:dyDescent="0.25">
      <c r="A123" s="2">
        <v>45108</v>
      </c>
      <c r="B123" s="1">
        <v>2023</v>
      </c>
      <c r="C123" s="1">
        <v>7</v>
      </c>
      <c r="D123" s="1">
        <v>40.6875</v>
      </c>
      <c r="E123" s="1" t="s">
        <v>11</v>
      </c>
    </row>
    <row r="124" spans="1:5" x14ac:dyDescent="0.25">
      <c r="A124" s="2">
        <v>45114</v>
      </c>
      <c r="B124" s="1">
        <v>2023</v>
      </c>
      <c r="C124" s="1">
        <v>7</v>
      </c>
      <c r="D124" s="1">
        <v>7947.7789821428578</v>
      </c>
      <c r="E124" s="1" t="s">
        <v>130</v>
      </c>
    </row>
    <row r="125" spans="1:5" x14ac:dyDescent="0.25">
      <c r="A125" s="2">
        <v>45114</v>
      </c>
      <c r="B125" s="1">
        <v>2023</v>
      </c>
      <c r="C125" s="1">
        <v>7</v>
      </c>
      <c r="D125" s="1">
        <v>82</v>
      </c>
      <c r="E125" s="1" t="s">
        <v>133</v>
      </c>
    </row>
    <row r="126" spans="1:5" x14ac:dyDescent="0.25">
      <c r="A126" s="2">
        <v>45114</v>
      </c>
      <c r="B126" s="1">
        <v>2023</v>
      </c>
      <c r="C126" s="1">
        <v>7</v>
      </c>
      <c r="D126" s="1">
        <v>8.4467806795014955</v>
      </c>
      <c r="E126" s="1" t="s">
        <v>131</v>
      </c>
    </row>
    <row r="127" spans="1:5" x14ac:dyDescent="0.25">
      <c r="A127" s="2">
        <v>45114</v>
      </c>
      <c r="B127" s="1">
        <v>2023</v>
      </c>
      <c r="C127" s="1">
        <v>7</v>
      </c>
      <c r="D127" s="1">
        <v>40</v>
      </c>
      <c r="E127" s="1" t="s">
        <v>132</v>
      </c>
    </row>
    <row r="128" spans="1:5" x14ac:dyDescent="0.25">
      <c r="A128" s="2">
        <v>45118</v>
      </c>
      <c r="B128" s="1">
        <v>2023</v>
      </c>
      <c r="C128" s="1">
        <v>7</v>
      </c>
      <c r="D128" s="1">
        <v>30.907685702017943</v>
      </c>
      <c r="E128" s="1" t="s">
        <v>12</v>
      </c>
    </row>
    <row r="129" spans="1:5" x14ac:dyDescent="0.25">
      <c r="A129" s="2">
        <v>45121</v>
      </c>
      <c r="B129" s="1">
        <v>2023</v>
      </c>
      <c r="C129" s="1">
        <v>7</v>
      </c>
      <c r="D129" s="1">
        <v>7540.2041071428594</v>
      </c>
      <c r="E129" s="1" t="s">
        <v>130</v>
      </c>
    </row>
    <row r="130" spans="1:5" x14ac:dyDescent="0.25">
      <c r="A130" s="2">
        <v>45121</v>
      </c>
      <c r="B130" s="1">
        <v>2023</v>
      </c>
      <c r="C130" s="1">
        <v>7</v>
      </c>
      <c r="D130" s="1">
        <v>8.4669148864014954</v>
      </c>
      <c r="E130" s="1" t="s">
        <v>131</v>
      </c>
    </row>
    <row r="131" spans="1:5" x14ac:dyDescent="0.25">
      <c r="A131" s="2">
        <v>45121</v>
      </c>
      <c r="B131" s="1">
        <v>2023</v>
      </c>
      <c r="C131" s="1">
        <v>7</v>
      </c>
      <c r="D131" s="1">
        <v>77.5</v>
      </c>
      <c r="E131" s="1" t="s">
        <v>133</v>
      </c>
    </row>
    <row r="132" spans="1:5" x14ac:dyDescent="0.25">
      <c r="A132" s="2">
        <v>45121</v>
      </c>
      <c r="B132" s="1">
        <v>2023</v>
      </c>
      <c r="C132" s="1">
        <v>7</v>
      </c>
      <c r="D132" s="1">
        <v>44</v>
      </c>
      <c r="E132" s="1" t="s">
        <v>132</v>
      </c>
    </row>
    <row r="133" spans="1:5" x14ac:dyDescent="0.25">
      <c r="A133" s="2">
        <v>45128</v>
      </c>
      <c r="B133" s="1">
        <v>2023</v>
      </c>
      <c r="C133" s="1">
        <v>7</v>
      </c>
      <c r="D133" s="1">
        <v>7914.1161071428596</v>
      </c>
      <c r="E133" s="1" t="s">
        <v>130</v>
      </c>
    </row>
    <row r="134" spans="1:5" x14ac:dyDescent="0.25">
      <c r="A134" s="2">
        <v>45128</v>
      </c>
      <c r="B134" s="1">
        <v>2023</v>
      </c>
      <c r="C134" s="1">
        <v>7</v>
      </c>
      <c r="D134" s="1">
        <v>8.6408863868284786</v>
      </c>
      <c r="E134" s="1" t="s">
        <v>131</v>
      </c>
    </row>
    <row r="135" spans="1:5" x14ac:dyDescent="0.25">
      <c r="A135" s="2">
        <v>45128</v>
      </c>
      <c r="B135" s="1">
        <v>2023</v>
      </c>
      <c r="C135" s="1">
        <v>7</v>
      </c>
      <c r="D135" s="1">
        <v>49</v>
      </c>
      <c r="E135" s="1" t="s">
        <v>132</v>
      </c>
    </row>
    <row r="136" spans="1:5" x14ac:dyDescent="0.25">
      <c r="A136" s="2">
        <v>45128</v>
      </c>
      <c r="B136" s="1">
        <v>2023</v>
      </c>
      <c r="C136" s="1">
        <v>7</v>
      </c>
      <c r="D136" s="1">
        <v>77.5</v>
      </c>
      <c r="E136" s="1" t="s">
        <v>133</v>
      </c>
    </row>
    <row r="137" spans="1:5" x14ac:dyDescent="0.25">
      <c r="A137" s="2">
        <v>45135</v>
      </c>
      <c r="B137" s="1">
        <v>2023</v>
      </c>
      <c r="C137" s="1">
        <v>7</v>
      </c>
      <c r="D137" s="1">
        <v>8086.1619821428594</v>
      </c>
      <c r="E137" s="1" t="s">
        <v>130</v>
      </c>
    </row>
    <row r="138" spans="1:5" x14ac:dyDescent="0.25">
      <c r="A138" s="2">
        <v>45135</v>
      </c>
      <c r="B138" s="1">
        <v>2023</v>
      </c>
      <c r="C138" s="1">
        <v>7</v>
      </c>
      <c r="D138" s="1">
        <v>7.6160984511928254</v>
      </c>
      <c r="E138" s="1" t="s">
        <v>131</v>
      </c>
    </row>
    <row r="139" spans="1:5" x14ac:dyDescent="0.25">
      <c r="A139" s="2">
        <v>45135</v>
      </c>
      <c r="B139" s="1">
        <v>2023</v>
      </c>
      <c r="C139" s="1">
        <v>7</v>
      </c>
      <c r="D139" s="1">
        <v>72.5</v>
      </c>
      <c r="E139" s="1" t="s">
        <v>133</v>
      </c>
    </row>
    <row r="140" spans="1:5" x14ac:dyDescent="0.25">
      <c r="A140" s="2">
        <v>45135</v>
      </c>
      <c r="B140" s="1">
        <v>2023</v>
      </c>
      <c r="C140" s="1">
        <v>7</v>
      </c>
      <c r="D140" s="1">
        <v>47</v>
      </c>
      <c r="E140" s="1" t="s">
        <v>132</v>
      </c>
    </row>
    <row r="141" spans="1:5" x14ac:dyDescent="0.25">
      <c r="A141" s="2">
        <v>45139</v>
      </c>
      <c r="B141" s="1">
        <v>2023</v>
      </c>
      <c r="C141" s="1">
        <v>8</v>
      </c>
      <c r="D141" s="1">
        <v>34.799999999999997</v>
      </c>
      <c r="E141" s="1" t="s">
        <v>11</v>
      </c>
    </row>
    <row r="142" spans="1:5" x14ac:dyDescent="0.25">
      <c r="A142" s="2">
        <v>45139</v>
      </c>
      <c r="B142" s="1">
        <v>2023</v>
      </c>
      <c r="C142" s="1">
        <v>8</v>
      </c>
      <c r="D142" s="1">
        <v>111.29166666666667</v>
      </c>
      <c r="E142" s="1" t="s">
        <v>10</v>
      </c>
    </row>
    <row r="143" spans="1:5" x14ac:dyDescent="0.25">
      <c r="A143" s="2">
        <v>45139</v>
      </c>
      <c r="B143" s="1">
        <v>2023</v>
      </c>
      <c r="C143" s="1">
        <v>8</v>
      </c>
      <c r="D143" s="1">
        <v>14340.384615384615</v>
      </c>
      <c r="E143" s="1" t="s">
        <v>8</v>
      </c>
    </row>
    <row r="144" spans="1:5" x14ac:dyDescent="0.25">
      <c r="A144" s="2">
        <v>45139</v>
      </c>
      <c r="B144" s="1">
        <v>2023</v>
      </c>
      <c r="C144" s="1">
        <v>8</v>
      </c>
      <c r="D144" s="1">
        <v>398</v>
      </c>
      <c r="E144" s="1" t="s">
        <v>9</v>
      </c>
    </row>
    <row r="145" spans="1:5" x14ac:dyDescent="0.25">
      <c r="A145" s="2">
        <v>45142</v>
      </c>
      <c r="B145" s="1">
        <v>2023</v>
      </c>
      <c r="C145" s="1">
        <v>8</v>
      </c>
      <c r="D145" s="1">
        <v>7.1938235597883677</v>
      </c>
      <c r="E145" s="1" t="s">
        <v>131</v>
      </c>
    </row>
    <row r="146" spans="1:5" x14ac:dyDescent="0.25">
      <c r="A146" s="2">
        <v>45142</v>
      </c>
      <c r="B146" s="1">
        <v>2023</v>
      </c>
      <c r="C146" s="1">
        <v>8</v>
      </c>
      <c r="D146" s="1">
        <v>-61.622651255891924</v>
      </c>
      <c r="E146" s="1" t="s">
        <v>12</v>
      </c>
    </row>
    <row r="147" spans="1:5" x14ac:dyDescent="0.25">
      <c r="A147" s="2">
        <v>45142</v>
      </c>
      <c r="B147" s="1">
        <v>2023</v>
      </c>
      <c r="C147" s="1">
        <v>8</v>
      </c>
      <c r="D147" s="1">
        <v>9830.6928571428562</v>
      </c>
      <c r="E147" s="1" t="s">
        <v>130</v>
      </c>
    </row>
    <row r="148" spans="1:5" x14ac:dyDescent="0.25">
      <c r="A148" s="2">
        <v>45142</v>
      </c>
      <c r="B148" s="1">
        <v>2023</v>
      </c>
      <c r="C148" s="1">
        <v>8</v>
      </c>
      <c r="D148" s="1">
        <v>50</v>
      </c>
      <c r="E148" s="1" t="s">
        <v>132</v>
      </c>
    </row>
    <row r="149" spans="1:5" x14ac:dyDescent="0.25">
      <c r="A149" s="2">
        <v>45142</v>
      </c>
      <c r="B149" s="1">
        <v>2023</v>
      </c>
      <c r="C149" s="1">
        <v>8</v>
      </c>
      <c r="D149" s="1">
        <v>71.5</v>
      </c>
      <c r="E149" s="1" t="s">
        <v>133</v>
      </c>
    </row>
    <row r="150" spans="1:5" x14ac:dyDescent="0.25">
      <c r="A150" s="2">
        <v>45149</v>
      </c>
      <c r="B150" s="1">
        <v>2023</v>
      </c>
      <c r="C150" s="1">
        <v>8</v>
      </c>
      <c r="D150" s="1">
        <v>7.2535919094074837</v>
      </c>
      <c r="E150" s="1" t="s">
        <v>131</v>
      </c>
    </row>
    <row r="151" spans="1:5" x14ac:dyDescent="0.25">
      <c r="A151" s="2">
        <v>45149</v>
      </c>
      <c r="B151" s="1">
        <v>2023</v>
      </c>
      <c r="C151" s="1">
        <v>8</v>
      </c>
      <c r="D151" s="1">
        <v>9885.7428571428554</v>
      </c>
      <c r="E151" s="1" t="s">
        <v>130</v>
      </c>
    </row>
    <row r="152" spans="1:5" x14ac:dyDescent="0.25">
      <c r="A152" s="2">
        <v>45149</v>
      </c>
      <c r="B152" s="1">
        <v>2023</v>
      </c>
      <c r="C152" s="1">
        <v>8</v>
      </c>
      <c r="D152" s="1">
        <v>53</v>
      </c>
      <c r="E152" s="1" t="s">
        <v>132</v>
      </c>
    </row>
    <row r="153" spans="1:5" x14ac:dyDescent="0.25">
      <c r="A153" s="2">
        <v>45149</v>
      </c>
      <c r="B153" s="1">
        <v>2023</v>
      </c>
      <c r="C153" s="1">
        <v>8</v>
      </c>
      <c r="D153" s="1">
        <v>72</v>
      </c>
      <c r="E153" s="1" t="s">
        <v>133</v>
      </c>
    </row>
    <row r="154" spans="1:5" x14ac:dyDescent="0.25">
      <c r="A154" s="2">
        <v>45156</v>
      </c>
      <c r="B154" s="1">
        <v>2023</v>
      </c>
      <c r="C154" s="1">
        <v>8</v>
      </c>
      <c r="D154" s="1">
        <v>7.0734703549925424</v>
      </c>
      <c r="E154" s="1" t="s">
        <v>131</v>
      </c>
    </row>
    <row r="155" spans="1:5" x14ac:dyDescent="0.25">
      <c r="A155" s="2">
        <v>45156</v>
      </c>
      <c r="B155" s="1">
        <v>2023</v>
      </c>
      <c r="C155" s="1">
        <v>8</v>
      </c>
      <c r="D155" s="1">
        <v>8128.1678571428583</v>
      </c>
      <c r="E155" s="1" t="s">
        <v>130</v>
      </c>
    </row>
    <row r="156" spans="1:5" x14ac:dyDescent="0.25">
      <c r="A156" s="2">
        <v>45156</v>
      </c>
      <c r="B156" s="1">
        <v>2023</v>
      </c>
      <c r="C156" s="1">
        <v>8</v>
      </c>
      <c r="D156" s="1">
        <v>72.5</v>
      </c>
      <c r="E156" s="1" t="s">
        <v>133</v>
      </c>
    </row>
    <row r="157" spans="1:5" x14ac:dyDescent="0.25">
      <c r="A157" s="2">
        <v>45156</v>
      </c>
      <c r="B157" s="1">
        <v>2023</v>
      </c>
      <c r="C157" s="1">
        <v>8</v>
      </c>
      <c r="D157" s="1">
        <v>71</v>
      </c>
      <c r="E157" s="1" t="s">
        <v>132</v>
      </c>
    </row>
    <row r="158" spans="1:5" x14ac:dyDescent="0.25">
      <c r="A158" s="2">
        <v>45163</v>
      </c>
      <c r="B158" s="1">
        <v>2023</v>
      </c>
      <c r="C158" s="1">
        <v>8</v>
      </c>
      <c r="D158" s="1">
        <v>7.0775830868175085</v>
      </c>
      <c r="E158" s="1" t="s">
        <v>131</v>
      </c>
    </row>
    <row r="159" spans="1:5" x14ac:dyDescent="0.25">
      <c r="A159" s="2">
        <v>45163</v>
      </c>
      <c r="B159" s="1">
        <v>2023</v>
      </c>
      <c r="C159" s="1">
        <v>8</v>
      </c>
      <c r="D159" s="1">
        <v>8995.6178571428554</v>
      </c>
      <c r="E159" s="1" t="s">
        <v>130</v>
      </c>
    </row>
    <row r="160" spans="1:5" x14ac:dyDescent="0.25">
      <c r="A160" s="2">
        <v>45163</v>
      </c>
      <c r="B160" s="1">
        <v>2023</v>
      </c>
      <c r="C160" s="1">
        <v>8</v>
      </c>
      <c r="D160" s="1">
        <v>70.5</v>
      </c>
      <c r="E160" s="1" t="s">
        <v>132</v>
      </c>
    </row>
    <row r="161" spans="1:5" x14ac:dyDescent="0.25">
      <c r="A161" s="2">
        <v>45163</v>
      </c>
      <c r="B161" s="1">
        <v>2023</v>
      </c>
      <c r="C161" s="1">
        <v>8</v>
      </c>
      <c r="D161" s="1">
        <v>75</v>
      </c>
      <c r="E161" s="1" t="s">
        <v>133</v>
      </c>
    </row>
    <row r="162" spans="1:5" x14ac:dyDescent="0.25">
      <c r="A162" s="2">
        <v>45170</v>
      </c>
      <c r="B162" s="1">
        <v>2023</v>
      </c>
      <c r="C162" s="1">
        <v>9</v>
      </c>
      <c r="D162" s="1">
        <v>414</v>
      </c>
      <c r="E162" s="1" t="s">
        <v>9</v>
      </c>
    </row>
    <row r="163" spans="1:5" x14ac:dyDescent="0.25">
      <c r="A163" s="2">
        <v>45170</v>
      </c>
      <c r="B163" s="1">
        <v>2023</v>
      </c>
      <c r="C163" s="1">
        <v>9</v>
      </c>
      <c r="D163" s="1">
        <v>8642.8623571428561</v>
      </c>
      <c r="E163" s="1" t="s">
        <v>130</v>
      </c>
    </row>
    <row r="164" spans="1:5" x14ac:dyDescent="0.25">
      <c r="A164" s="2">
        <v>45170</v>
      </c>
      <c r="B164" s="1">
        <v>2023</v>
      </c>
      <c r="C164" s="1">
        <v>9</v>
      </c>
      <c r="D164" s="1">
        <v>7.049636553282193</v>
      </c>
      <c r="E164" s="1" t="s">
        <v>131</v>
      </c>
    </row>
    <row r="165" spans="1:5" x14ac:dyDescent="0.25">
      <c r="A165" s="2">
        <v>45170</v>
      </c>
      <c r="B165" s="1">
        <v>2023</v>
      </c>
      <c r="C165" s="1">
        <v>9</v>
      </c>
      <c r="D165" s="1">
        <v>74</v>
      </c>
      <c r="E165" s="1" t="s">
        <v>132</v>
      </c>
    </row>
    <row r="166" spans="1:5" x14ac:dyDescent="0.25">
      <c r="A166" s="2">
        <v>45170</v>
      </c>
      <c r="B166" s="1">
        <v>2023</v>
      </c>
      <c r="C166" s="1">
        <v>9</v>
      </c>
      <c r="D166" s="1">
        <v>14238.043478260868</v>
      </c>
      <c r="E166" s="1" t="s">
        <v>8</v>
      </c>
    </row>
    <row r="167" spans="1:5" x14ac:dyDescent="0.25">
      <c r="A167" s="2">
        <v>45170</v>
      </c>
      <c r="B167" s="1">
        <v>2023</v>
      </c>
      <c r="C167" s="1">
        <v>9</v>
      </c>
      <c r="D167" s="1">
        <v>40.18518518518519</v>
      </c>
      <c r="E167" s="1" t="s">
        <v>11</v>
      </c>
    </row>
    <row r="168" spans="1:5" x14ac:dyDescent="0.25">
      <c r="A168" s="2">
        <v>45170</v>
      </c>
      <c r="B168" s="1">
        <v>2023</v>
      </c>
      <c r="C168" s="1">
        <v>9</v>
      </c>
      <c r="D168" s="1">
        <v>114.82936507936509</v>
      </c>
      <c r="E168" s="1" t="s">
        <v>10</v>
      </c>
    </row>
    <row r="169" spans="1:5" x14ac:dyDescent="0.25">
      <c r="A169" s="2">
        <v>45170</v>
      </c>
      <c r="B169" s="1">
        <v>2023</v>
      </c>
      <c r="C169" s="1">
        <v>9</v>
      </c>
      <c r="D169" s="1">
        <v>72</v>
      </c>
      <c r="E169" s="1" t="s">
        <v>133</v>
      </c>
    </row>
    <row r="170" spans="1:5" x14ac:dyDescent="0.25">
      <c r="A170" s="2">
        <v>45176</v>
      </c>
      <c r="B170" s="1">
        <v>2023</v>
      </c>
      <c r="C170" s="1">
        <v>9</v>
      </c>
      <c r="D170" s="1">
        <v>-20.890290172607365</v>
      </c>
      <c r="E170" s="1" t="s">
        <v>12</v>
      </c>
    </row>
    <row r="171" spans="1:5" x14ac:dyDescent="0.25">
      <c r="A171" s="2">
        <v>45177</v>
      </c>
      <c r="B171" s="1">
        <v>2023</v>
      </c>
      <c r="C171" s="1">
        <v>9</v>
      </c>
      <c r="D171" s="1">
        <v>8544.5973571428567</v>
      </c>
      <c r="E171" s="1" t="s">
        <v>130</v>
      </c>
    </row>
    <row r="172" spans="1:5" x14ac:dyDescent="0.25">
      <c r="A172" s="2">
        <v>45177</v>
      </c>
      <c r="B172" s="1">
        <v>2023</v>
      </c>
      <c r="C172" s="1">
        <v>9</v>
      </c>
      <c r="D172" s="1">
        <v>6.8060092582159193</v>
      </c>
      <c r="E172" s="1" t="s">
        <v>131</v>
      </c>
    </row>
    <row r="173" spans="1:5" x14ac:dyDescent="0.25">
      <c r="A173" s="2">
        <v>45177</v>
      </c>
      <c r="B173" s="1">
        <v>2023</v>
      </c>
      <c r="C173" s="1">
        <v>9</v>
      </c>
      <c r="D173" s="1">
        <v>70</v>
      </c>
      <c r="E173" s="1" t="s">
        <v>133</v>
      </c>
    </row>
    <row r="174" spans="1:5" x14ac:dyDescent="0.25">
      <c r="A174" s="2">
        <v>45177</v>
      </c>
      <c r="B174" s="1">
        <v>2023</v>
      </c>
      <c r="C174" s="1">
        <v>9</v>
      </c>
      <c r="D174" s="1">
        <v>74</v>
      </c>
      <c r="E174" s="1" t="s">
        <v>132</v>
      </c>
    </row>
    <row r="175" spans="1:5" x14ac:dyDescent="0.25">
      <c r="A175" s="2">
        <v>45184</v>
      </c>
      <c r="B175" s="1">
        <v>2023</v>
      </c>
      <c r="C175" s="1">
        <v>9</v>
      </c>
      <c r="D175" s="1">
        <v>397.72727272727269</v>
      </c>
      <c r="E175" s="1" t="s">
        <v>7</v>
      </c>
    </row>
    <row r="176" spans="1:5" x14ac:dyDescent="0.25">
      <c r="A176" s="2">
        <v>45184</v>
      </c>
      <c r="B176" s="1">
        <v>2023</v>
      </c>
      <c r="C176" s="1">
        <v>9</v>
      </c>
      <c r="D176" s="1">
        <v>8193.4738571428552</v>
      </c>
      <c r="E176" s="1" t="s">
        <v>130</v>
      </c>
    </row>
    <row r="177" spans="1:5" x14ac:dyDescent="0.25">
      <c r="A177" s="2">
        <v>45184</v>
      </c>
      <c r="B177" s="1">
        <v>2023</v>
      </c>
      <c r="C177" s="1">
        <v>9</v>
      </c>
      <c r="D177" s="1">
        <v>7.0413857147547887</v>
      </c>
      <c r="E177" s="1" t="s">
        <v>131</v>
      </c>
    </row>
    <row r="178" spans="1:5" x14ac:dyDescent="0.25">
      <c r="A178" s="2">
        <v>45184</v>
      </c>
      <c r="B178" s="1">
        <v>2023</v>
      </c>
      <c r="C178" s="1">
        <v>9</v>
      </c>
      <c r="D178" s="1">
        <v>71.5</v>
      </c>
      <c r="E178" s="1" t="s">
        <v>133</v>
      </c>
    </row>
    <row r="179" spans="1:5" x14ac:dyDescent="0.25">
      <c r="A179" s="2">
        <v>45184</v>
      </c>
      <c r="B179" s="1">
        <v>2023</v>
      </c>
      <c r="C179" s="1">
        <v>9</v>
      </c>
      <c r="D179" s="1">
        <v>73.5</v>
      </c>
      <c r="E179" s="1" t="s">
        <v>132</v>
      </c>
    </row>
    <row r="180" spans="1:5" x14ac:dyDescent="0.25">
      <c r="A180" s="2">
        <v>45191</v>
      </c>
      <c r="B180" s="1">
        <v>2023</v>
      </c>
      <c r="C180" s="1">
        <v>9</v>
      </c>
      <c r="D180" s="1">
        <v>352.72727272727275</v>
      </c>
      <c r="E180" s="1" t="s">
        <v>7</v>
      </c>
    </row>
    <row r="181" spans="1:5" x14ac:dyDescent="0.25">
      <c r="A181" s="2">
        <v>45191</v>
      </c>
      <c r="B181" s="1">
        <v>2023</v>
      </c>
      <c r="C181" s="1">
        <v>9</v>
      </c>
      <c r="D181" s="1">
        <v>8049.6583571428582</v>
      </c>
      <c r="E181" s="1" t="s">
        <v>130</v>
      </c>
    </row>
    <row r="182" spans="1:5" x14ac:dyDescent="0.25">
      <c r="A182" s="2">
        <v>45191</v>
      </c>
      <c r="B182" s="1">
        <v>2023</v>
      </c>
      <c r="C182" s="1">
        <v>9</v>
      </c>
      <c r="D182" s="1">
        <v>7.2161371079831182</v>
      </c>
      <c r="E182" s="1" t="s">
        <v>131</v>
      </c>
    </row>
    <row r="183" spans="1:5" x14ac:dyDescent="0.25">
      <c r="A183" s="2">
        <v>45191</v>
      </c>
      <c r="B183" s="1">
        <v>2023</v>
      </c>
      <c r="C183" s="1">
        <v>9</v>
      </c>
      <c r="D183" s="1">
        <v>73.5</v>
      </c>
      <c r="E183" s="1" t="s">
        <v>132</v>
      </c>
    </row>
    <row r="184" spans="1:5" x14ac:dyDescent="0.25">
      <c r="A184" s="2">
        <v>45191</v>
      </c>
      <c r="B184" s="1">
        <v>2023</v>
      </c>
      <c r="C184" s="1">
        <v>9</v>
      </c>
      <c r="D184" s="1">
        <v>83.5</v>
      </c>
      <c r="E184" s="1" t="s">
        <v>133</v>
      </c>
    </row>
    <row r="185" spans="1:5" x14ac:dyDescent="0.25">
      <c r="A185" s="2">
        <v>45198</v>
      </c>
      <c r="B185" s="1">
        <v>2023</v>
      </c>
      <c r="C185" s="1">
        <v>9</v>
      </c>
      <c r="D185" s="1">
        <v>347.0454545454545</v>
      </c>
      <c r="E185" s="1" t="s">
        <v>7</v>
      </c>
    </row>
    <row r="186" spans="1:5" x14ac:dyDescent="0.25">
      <c r="A186" s="2">
        <v>45198</v>
      </c>
      <c r="B186" s="1">
        <v>2023</v>
      </c>
      <c r="C186" s="1">
        <v>9</v>
      </c>
      <c r="D186" s="1">
        <v>8348.8943571428554</v>
      </c>
      <c r="E186" s="1" t="s">
        <v>130</v>
      </c>
    </row>
    <row r="187" spans="1:5" x14ac:dyDescent="0.25">
      <c r="A187" s="2">
        <v>45198</v>
      </c>
      <c r="B187" s="1">
        <v>2023</v>
      </c>
      <c r="C187" s="1">
        <v>9</v>
      </c>
      <c r="D187" s="1">
        <v>7.2283120161347378</v>
      </c>
      <c r="E187" s="1" t="s">
        <v>131</v>
      </c>
    </row>
    <row r="188" spans="1:5" x14ac:dyDescent="0.25">
      <c r="A188" s="2">
        <v>45198</v>
      </c>
      <c r="B188" s="1">
        <v>2023</v>
      </c>
      <c r="C188" s="1">
        <v>9</v>
      </c>
      <c r="D188" s="1">
        <v>89</v>
      </c>
      <c r="E188" s="1" t="s">
        <v>133</v>
      </c>
    </row>
    <row r="189" spans="1:5" x14ac:dyDescent="0.25">
      <c r="A189" s="2">
        <v>45198</v>
      </c>
      <c r="B189" s="1">
        <v>2023</v>
      </c>
      <c r="C189" s="1">
        <v>9</v>
      </c>
      <c r="D189" s="1">
        <v>69</v>
      </c>
      <c r="E189" s="1" t="s">
        <v>132</v>
      </c>
    </row>
    <row r="190" spans="1:5" x14ac:dyDescent="0.25">
      <c r="A190" s="2">
        <v>45200</v>
      </c>
      <c r="B190" s="1">
        <v>2023</v>
      </c>
      <c r="C190" s="1">
        <v>10</v>
      </c>
      <c r="D190" s="1">
        <v>14575</v>
      </c>
      <c r="E190" s="1" t="s">
        <v>8</v>
      </c>
    </row>
    <row r="191" spans="1:5" x14ac:dyDescent="0.25">
      <c r="A191" s="2">
        <v>45200</v>
      </c>
      <c r="B191" s="1">
        <v>2023</v>
      </c>
      <c r="C191" s="1">
        <v>10</v>
      </c>
      <c r="D191" s="1">
        <v>448</v>
      </c>
      <c r="E191" s="1" t="s">
        <v>9</v>
      </c>
    </row>
    <row r="192" spans="1:5" x14ac:dyDescent="0.25">
      <c r="A192" s="2">
        <v>45200</v>
      </c>
      <c r="B192" s="1">
        <v>2023</v>
      </c>
      <c r="C192" s="1">
        <v>10</v>
      </c>
      <c r="D192" s="1">
        <v>116.71417004048584</v>
      </c>
      <c r="E192" s="1" t="s">
        <v>10</v>
      </c>
    </row>
    <row r="193" spans="1:5" x14ac:dyDescent="0.25">
      <c r="A193" s="2">
        <v>45200</v>
      </c>
      <c r="B193" s="1">
        <v>2023</v>
      </c>
      <c r="C193" s="1">
        <v>10</v>
      </c>
      <c r="D193" s="1">
        <v>43.045454545454547</v>
      </c>
      <c r="E193" s="1" t="s">
        <v>11</v>
      </c>
    </row>
    <row r="194" spans="1:5" x14ac:dyDescent="0.25">
      <c r="A194" s="2">
        <v>45205</v>
      </c>
      <c r="B194" s="1">
        <v>2023</v>
      </c>
      <c r="C194" s="1">
        <v>10</v>
      </c>
      <c r="D194" s="1">
        <v>4.2949165388749861</v>
      </c>
      <c r="E194" s="1" t="s">
        <v>12</v>
      </c>
    </row>
    <row r="195" spans="1:5" x14ac:dyDescent="0.25">
      <c r="A195" s="2">
        <v>45205</v>
      </c>
      <c r="B195" s="1">
        <v>2023</v>
      </c>
      <c r="C195" s="1">
        <v>10</v>
      </c>
      <c r="D195" s="1">
        <v>7.4482834824031077</v>
      </c>
      <c r="E195" s="1" t="s">
        <v>131</v>
      </c>
    </row>
    <row r="196" spans="1:5" x14ac:dyDescent="0.25">
      <c r="A196" s="2">
        <v>45205</v>
      </c>
      <c r="B196" s="1">
        <v>2023</v>
      </c>
      <c r="C196" s="1">
        <v>10</v>
      </c>
      <c r="D196" s="1">
        <v>349.77272727272725</v>
      </c>
      <c r="E196" s="1" t="s">
        <v>7</v>
      </c>
    </row>
    <row r="197" spans="1:5" x14ac:dyDescent="0.25">
      <c r="A197" s="2">
        <v>45205</v>
      </c>
      <c r="B197" s="1">
        <v>2023</v>
      </c>
      <c r="C197" s="1">
        <v>10</v>
      </c>
      <c r="D197" s="1">
        <v>6885.6003071428586</v>
      </c>
      <c r="E197" s="1" t="s">
        <v>130</v>
      </c>
    </row>
    <row r="198" spans="1:5" x14ac:dyDescent="0.25">
      <c r="A198" s="2">
        <v>45205</v>
      </c>
      <c r="B198" s="1">
        <v>2023</v>
      </c>
      <c r="C198" s="1">
        <v>10</v>
      </c>
      <c r="D198" s="1">
        <v>78.5</v>
      </c>
      <c r="E198" s="1" t="s">
        <v>132</v>
      </c>
    </row>
    <row r="199" spans="1:5" x14ac:dyDescent="0.25">
      <c r="A199" s="2">
        <v>45205</v>
      </c>
      <c r="B199" s="1">
        <v>2023</v>
      </c>
      <c r="C199" s="1">
        <v>10</v>
      </c>
      <c r="D199" s="1">
        <v>85</v>
      </c>
      <c r="E199" s="1" t="s">
        <v>133</v>
      </c>
    </row>
    <row r="200" spans="1:5" x14ac:dyDescent="0.25">
      <c r="A200" s="2">
        <v>45212</v>
      </c>
      <c r="B200" s="1">
        <v>2023</v>
      </c>
      <c r="C200" s="1">
        <v>10</v>
      </c>
      <c r="D200" s="1">
        <v>7.9199682904411821</v>
      </c>
      <c r="E200" s="1" t="s">
        <v>131</v>
      </c>
    </row>
    <row r="201" spans="1:5" x14ac:dyDescent="0.25">
      <c r="A201" s="2">
        <v>45212</v>
      </c>
      <c r="B201" s="1">
        <v>2023</v>
      </c>
      <c r="C201" s="1">
        <v>10</v>
      </c>
      <c r="D201" s="1">
        <v>343.18181818181813</v>
      </c>
      <c r="E201" s="1" t="s">
        <v>7</v>
      </c>
    </row>
    <row r="202" spans="1:5" x14ac:dyDescent="0.25">
      <c r="A202" s="2">
        <v>45212</v>
      </c>
      <c r="B202" s="1">
        <v>2023</v>
      </c>
      <c r="C202" s="1">
        <v>10</v>
      </c>
      <c r="D202" s="1">
        <v>5644.264107142857</v>
      </c>
      <c r="E202" s="1" t="s">
        <v>130</v>
      </c>
    </row>
    <row r="203" spans="1:5" x14ac:dyDescent="0.25">
      <c r="A203" s="2">
        <v>45212</v>
      </c>
      <c r="B203" s="1">
        <v>2023</v>
      </c>
      <c r="C203" s="1">
        <v>10</v>
      </c>
      <c r="D203" s="1">
        <v>89.5</v>
      </c>
      <c r="E203" s="1" t="s">
        <v>133</v>
      </c>
    </row>
    <row r="204" spans="1:5" x14ac:dyDescent="0.25">
      <c r="A204" s="2">
        <v>45212</v>
      </c>
      <c r="B204" s="1">
        <v>2023</v>
      </c>
      <c r="C204" s="1">
        <v>10</v>
      </c>
      <c r="D204" s="1">
        <v>80.5</v>
      </c>
      <c r="E204" s="1" t="s">
        <v>132</v>
      </c>
    </row>
    <row r="205" spans="1:5" x14ac:dyDescent="0.25">
      <c r="A205" s="2">
        <v>45219</v>
      </c>
      <c r="B205" s="1">
        <v>2023</v>
      </c>
      <c r="C205" s="1">
        <v>10</v>
      </c>
      <c r="D205" s="1">
        <v>8.7040275576408543</v>
      </c>
      <c r="E205" s="1" t="s">
        <v>131</v>
      </c>
    </row>
    <row r="206" spans="1:5" x14ac:dyDescent="0.25">
      <c r="A206" s="2">
        <v>45219</v>
      </c>
      <c r="B206" s="1">
        <v>2023</v>
      </c>
      <c r="C206" s="1">
        <v>10</v>
      </c>
      <c r="D206" s="1">
        <v>347.72727272727275</v>
      </c>
      <c r="E206" s="1" t="s">
        <v>7</v>
      </c>
    </row>
    <row r="207" spans="1:5" x14ac:dyDescent="0.25">
      <c r="A207" s="2">
        <v>45219</v>
      </c>
      <c r="B207" s="1">
        <v>2023</v>
      </c>
      <c r="C207" s="1">
        <v>10</v>
      </c>
      <c r="D207" s="1">
        <v>5759.4592071428542</v>
      </c>
      <c r="E207" s="1" t="s">
        <v>130</v>
      </c>
    </row>
    <row r="208" spans="1:5" x14ac:dyDescent="0.25">
      <c r="A208" s="2">
        <v>45219</v>
      </c>
      <c r="B208" s="1">
        <v>2023</v>
      </c>
      <c r="C208" s="1">
        <v>10</v>
      </c>
      <c r="D208" s="1">
        <v>72.666666666666657</v>
      </c>
      <c r="E208" s="1" t="s">
        <v>133</v>
      </c>
    </row>
    <row r="209" spans="1:5" x14ac:dyDescent="0.25">
      <c r="A209" s="2">
        <v>45219</v>
      </c>
      <c r="B209" s="1">
        <v>2023</v>
      </c>
      <c r="C209" s="1">
        <v>10</v>
      </c>
      <c r="D209" s="1">
        <v>68.333333333333329</v>
      </c>
      <c r="E209" s="1" t="s">
        <v>132</v>
      </c>
    </row>
    <row r="210" spans="1:5" x14ac:dyDescent="0.25">
      <c r="A210" s="2">
        <v>45226</v>
      </c>
      <c r="B210" s="1">
        <v>2023</v>
      </c>
      <c r="C210" s="1">
        <v>10</v>
      </c>
      <c r="D210" s="1">
        <v>9.1684295251083494</v>
      </c>
      <c r="E210" s="1" t="s">
        <v>131</v>
      </c>
    </row>
    <row r="211" spans="1:5" x14ac:dyDescent="0.25">
      <c r="A211" s="2">
        <v>45226</v>
      </c>
      <c r="B211" s="1">
        <v>2023</v>
      </c>
      <c r="C211" s="1">
        <v>10</v>
      </c>
      <c r="D211" s="1">
        <v>347.72727272727275</v>
      </c>
      <c r="E211" s="1" t="s">
        <v>7</v>
      </c>
    </row>
    <row r="212" spans="1:5" x14ac:dyDescent="0.25">
      <c r="A212" s="2">
        <v>45226</v>
      </c>
      <c r="B212" s="1">
        <v>2023</v>
      </c>
      <c r="C212" s="1">
        <v>10</v>
      </c>
      <c r="D212" s="1">
        <v>5516.8861571428588</v>
      </c>
      <c r="E212" s="1" t="s">
        <v>130</v>
      </c>
    </row>
    <row r="213" spans="1:5" x14ac:dyDescent="0.25">
      <c r="A213" s="2">
        <v>45226</v>
      </c>
      <c r="B213" s="1">
        <v>2023</v>
      </c>
      <c r="C213" s="1">
        <v>10</v>
      </c>
      <c r="D213" s="1">
        <v>72.666666666666671</v>
      </c>
      <c r="E213" s="1" t="s">
        <v>133</v>
      </c>
    </row>
    <row r="214" spans="1:5" x14ac:dyDescent="0.25">
      <c r="A214" s="2">
        <v>45226</v>
      </c>
      <c r="B214" s="1">
        <v>2023</v>
      </c>
      <c r="C214" s="1">
        <v>10</v>
      </c>
      <c r="D214" s="1">
        <v>70.666666666666671</v>
      </c>
      <c r="E214" s="1" t="s">
        <v>132</v>
      </c>
    </row>
    <row r="215" spans="1:5" x14ac:dyDescent="0.25">
      <c r="A215" s="2">
        <v>45231</v>
      </c>
      <c r="B215" s="1">
        <v>2023</v>
      </c>
      <c r="C215" s="1">
        <v>11</v>
      </c>
      <c r="D215" s="1">
        <v>45.980000000000004</v>
      </c>
      <c r="E215" s="1" t="s">
        <v>11</v>
      </c>
    </row>
    <row r="216" spans="1:5" x14ac:dyDescent="0.25">
      <c r="A216" s="2">
        <v>45231</v>
      </c>
      <c r="B216" s="1">
        <v>2023</v>
      </c>
      <c r="C216" s="1">
        <v>11</v>
      </c>
      <c r="D216" s="1">
        <v>12.922561039505467</v>
      </c>
      <c r="E216" s="1" t="s">
        <v>12</v>
      </c>
    </row>
    <row r="217" spans="1:5" x14ac:dyDescent="0.25">
      <c r="A217" s="2">
        <v>45231</v>
      </c>
      <c r="B217" s="1">
        <v>2023</v>
      </c>
      <c r="C217" s="1">
        <v>11</v>
      </c>
      <c r="D217" s="1">
        <v>116.79545454545453</v>
      </c>
      <c r="E217" s="1" t="s">
        <v>10</v>
      </c>
    </row>
    <row r="218" spans="1:5" x14ac:dyDescent="0.25">
      <c r="A218" s="2">
        <v>45231</v>
      </c>
      <c r="B218" s="1">
        <v>2023</v>
      </c>
      <c r="C218" s="1">
        <v>11</v>
      </c>
      <c r="D218" s="1">
        <v>14375</v>
      </c>
      <c r="E218" s="1" t="s">
        <v>8</v>
      </c>
    </row>
    <row r="219" spans="1:5" x14ac:dyDescent="0.25">
      <c r="A219" s="2">
        <v>45231</v>
      </c>
      <c r="B219" s="1">
        <v>2023</v>
      </c>
      <c r="C219" s="1">
        <v>11</v>
      </c>
      <c r="D219" s="1">
        <v>466</v>
      </c>
      <c r="E219" s="1" t="s">
        <v>9</v>
      </c>
    </row>
    <row r="220" spans="1:5" x14ac:dyDescent="0.25">
      <c r="A220" s="2">
        <v>45233</v>
      </c>
      <c r="B220" s="1">
        <v>2023</v>
      </c>
      <c r="C220" s="1">
        <v>11</v>
      </c>
      <c r="D220" s="1">
        <v>6721.5700571428551</v>
      </c>
      <c r="E220" s="1" t="s">
        <v>130</v>
      </c>
    </row>
    <row r="221" spans="1:5" x14ac:dyDescent="0.25">
      <c r="A221" s="2">
        <v>45233</v>
      </c>
      <c r="B221" s="1">
        <v>2023</v>
      </c>
      <c r="C221" s="1">
        <v>11</v>
      </c>
      <c r="D221" s="1">
        <v>9.9258088235294188</v>
      </c>
      <c r="E221" s="1" t="s">
        <v>131</v>
      </c>
    </row>
    <row r="222" spans="1:5" x14ac:dyDescent="0.25">
      <c r="A222" s="2">
        <v>45233</v>
      </c>
      <c r="B222" s="1">
        <v>2023</v>
      </c>
      <c r="C222" s="1">
        <v>11</v>
      </c>
      <c r="D222" s="1">
        <v>71.333333333333343</v>
      </c>
      <c r="E222" s="1" t="s">
        <v>133</v>
      </c>
    </row>
    <row r="223" spans="1:5" x14ac:dyDescent="0.25">
      <c r="A223" s="2">
        <v>45233</v>
      </c>
      <c r="B223" s="1">
        <v>2023</v>
      </c>
      <c r="C223" s="1">
        <v>11</v>
      </c>
      <c r="D223" s="1">
        <v>343.86363636363637</v>
      </c>
      <c r="E223" s="1" t="s">
        <v>7</v>
      </c>
    </row>
    <row r="224" spans="1:5" x14ac:dyDescent="0.25">
      <c r="A224" s="2">
        <v>45233</v>
      </c>
      <c r="B224" s="1">
        <v>2023</v>
      </c>
      <c r="C224" s="1">
        <v>11</v>
      </c>
      <c r="D224" s="1">
        <v>69</v>
      </c>
      <c r="E224" s="1" t="s">
        <v>132</v>
      </c>
    </row>
    <row r="225" spans="1:5" x14ac:dyDescent="0.25">
      <c r="A225" s="2">
        <v>45240</v>
      </c>
      <c r="B225" s="1">
        <v>2023</v>
      </c>
      <c r="C225" s="1">
        <v>11</v>
      </c>
      <c r="D225" s="1">
        <v>6472.0948571428544</v>
      </c>
      <c r="E225" s="1" t="s">
        <v>130</v>
      </c>
    </row>
    <row r="226" spans="1:5" x14ac:dyDescent="0.25">
      <c r="A226" s="2">
        <v>45240</v>
      </c>
      <c r="B226" s="1">
        <v>2023</v>
      </c>
      <c r="C226" s="1">
        <v>11</v>
      </c>
      <c r="D226" s="1">
        <v>10.013246825639985</v>
      </c>
      <c r="E226" s="1" t="s">
        <v>131</v>
      </c>
    </row>
    <row r="227" spans="1:5" x14ac:dyDescent="0.25">
      <c r="A227" s="2">
        <v>45240</v>
      </c>
      <c r="B227" s="1">
        <v>2023</v>
      </c>
      <c r="C227" s="1">
        <v>11</v>
      </c>
      <c r="D227" s="1">
        <v>337.72727272727275</v>
      </c>
      <c r="E227" s="1" t="s">
        <v>7</v>
      </c>
    </row>
    <row r="228" spans="1:5" x14ac:dyDescent="0.25">
      <c r="A228" s="2">
        <v>45240</v>
      </c>
      <c r="B228" s="1">
        <v>2023</v>
      </c>
      <c r="C228" s="1">
        <v>11</v>
      </c>
      <c r="D228" s="1">
        <v>71.666666666666657</v>
      </c>
      <c r="E228" s="1" t="s">
        <v>132</v>
      </c>
    </row>
    <row r="229" spans="1:5" x14ac:dyDescent="0.25">
      <c r="A229" s="2">
        <v>45240</v>
      </c>
      <c r="B229" s="1">
        <v>2023</v>
      </c>
      <c r="C229" s="1">
        <v>11</v>
      </c>
      <c r="D229" s="1">
        <v>72</v>
      </c>
      <c r="E229" s="1" t="s">
        <v>133</v>
      </c>
    </row>
    <row r="230" spans="1:5" x14ac:dyDescent="0.25">
      <c r="A230" s="2">
        <v>45247</v>
      </c>
      <c r="B230" s="1">
        <v>2023</v>
      </c>
      <c r="C230" s="1">
        <v>11</v>
      </c>
      <c r="D230" s="1">
        <v>5922.3492571428596</v>
      </c>
      <c r="E230" s="1" t="s">
        <v>130</v>
      </c>
    </row>
    <row r="231" spans="1:5" x14ac:dyDescent="0.25">
      <c r="A231" s="2">
        <v>45247</v>
      </c>
      <c r="B231" s="1">
        <v>2023</v>
      </c>
      <c r="C231" s="1">
        <v>11</v>
      </c>
      <c r="D231" s="1">
        <v>10.022309742647066</v>
      </c>
      <c r="E231" s="1" t="s">
        <v>131</v>
      </c>
    </row>
    <row r="232" spans="1:5" x14ac:dyDescent="0.25">
      <c r="A232" s="2">
        <v>45247</v>
      </c>
      <c r="B232" s="1">
        <v>2023</v>
      </c>
      <c r="C232" s="1">
        <v>11</v>
      </c>
      <c r="D232" s="1">
        <v>312.72727272727269</v>
      </c>
      <c r="E232" s="1" t="s">
        <v>7</v>
      </c>
    </row>
    <row r="233" spans="1:5" x14ac:dyDescent="0.25">
      <c r="A233" s="2">
        <v>45247</v>
      </c>
      <c r="B233" s="1">
        <v>2023</v>
      </c>
      <c r="C233" s="1">
        <v>11</v>
      </c>
      <c r="D233" s="1">
        <v>72</v>
      </c>
      <c r="E233" s="1" t="s">
        <v>132</v>
      </c>
    </row>
    <row r="234" spans="1:5" x14ac:dyDescent="0.25">
      <c r="A234" s="2">
        <v>45247</v>
      </c>
      <c r="B234" s="1">
        <v>2023</v>
      </c>
      <c r="C234" s="1">
        <v>11</v>
      </c>
      <c r="D234" s="1">
        <v>75</v>
      </c>
      <c r="E234" s="1" t="s">
        <v>133</v>
      </c>
    </row>
    <row r="235" spans="1:5" x14ac:dyDescent="0.25">
      <c r="A235" s="2">
        <v>45254</v>
      </c>
      <c r="B235" s="1">
        <v>2023</v>
      </c>
      <c r="C235" s="1">
        <v>11</v>
      </c>
      <c r="D235" s="1">
        <v>6423.4671238095198</v>
      </c>
      <c r="E235" s="1" t="s">
        <v>130</v>
      </c>
    </row>
    <row r="236" spans="1:5" x14ac:dyDescent="0.25">
      <c r="A236" s="2">
        <v>45254</v>
      </c>
      <c r="B236" s="1">
        <v>2023</v>
      </c>
      <c r="C236" s="1">
        <v>11</v>
      </c>
      <c r="D236" s="1">
        <v>10.371934104370922</v>
      </c>
      <c r="E236" s="1" t="s">
        <v>131</v>
      </c>
    </row>
    <row r="237" spans="1:5" x14ac:dyDescent="0.25">
      <c r="A237" s="2">
        <v>45254</v>
      </c>
      <c r="B237" s="1">
        <v>2023</v>
      </c>
      <c r="C237" s="1">
        <v>11</v>
      </c>
      <c r="D237" s="1">
        <v>293.86363636363632</v>
      </c>
      <c r="E237" s="1" t="s">
        <v>7</v>
      </c>
    </row>
    <row r="238" spans="1:5" x14ac:dyDescent="0.25">
      <c r="A238" s="2">
        <v>45254</v>
      </c>
      <c r="B238" s="1">
        <v>2023</v>
      </c>
      <c r="C238" s="1">
        <v>11</v>
      </c>
      <c r="D238" s="1">
        <v>76.333333333333343</v>
      </c>
      <c r="E238" s="1" t="s">
        <v>132</v>
      </c>
    </row>
    <row r="239" spans="1:5" x14ac:dyDescent="0.25">
      <c r="A239" s="2">
        <v>45254</v>
      </c>
      <c r="B239" s="1">
        <v>2023</v>
      </c>
      <c r="C239" s="1">
        <v>11</v>
      </c>
      <c r="D239" s="1">
        <v>79</v>
      </c>
      <c r="E239" s="1" t="s">
        <v>133</v>
      </c>
    </row>
    <row r="240" spans="1:5" x14ac:dyDescent="0.25">
      <c r="A240" s="2">
        <v>45261</v>
      </c>
      <c r="B240" s="1">
        <v>2023</v>
      </c>
      <c r="C240" s="1">
        <v>12</v>
      </c>
      <c r="D240" s="1">
        <v>461</v>
      </c>
      <c r="E240" s="1" t="s">
        <v>9</v>
      </c>
    </row>
    <row r="241" spans="1:5" x14ac:dyDescent="0.25">
      <c r="A241" s="2">
        <v>45261</v>
      </c>
      <c r="B241" s="1">
        <v>2023</v>
      </c>
      <c r="C241" s="1">
        <v>12</v>
      </c>
      <c r="D241" s="1">
        <v>120.73125</v>
      </c>
      <c r="E241" s="1" t="s">
        <v>10</v>
      </c>
    </row>
    <row r="242" spans="1:5" x14ac:dyDescent="0.25">
      <c r="A242" s="2">
        <v>45261</v>
      </c>
      <c r="B242" s="1">
        <v>2023</v>
      </c>
      <c r="C242" s="1">
        <v>12</v>
      </c>
      <c r="D242" s="1">
        <v>267.27272727272725</v>
      </c>
      <c r="E242" s="1" t="s">
        <v>7</v>
      </c>
    </row>
    <row r="243" spans="1:5" x14ac:dyDescent="0.25">
      <c r="A243" s="2">
        <v>45261</v>
      </c>
      <c r="B243" s="1">
        <v>2023</v>
      </c>
      <c r="C243" s="1">
        <v>12</v>
      </c>
      <c r="D243" s="1">
        <v>6230.9377523809508</v>
      </c>
      <c r="E243" s="1" t="s">
        <v>130</v>
      </c>
    </row>
    <row r="244" spans="1:5" x14ac:dyDescent="0.25">
      <c r="A244" s="2">
        <v>45261</v>
      </c>
      <c r="B244" s="1">
        <v>2023</v>
      </c>
      <c r="C244" s="1">
        <v>12</v>
      </c>
      <c r="D244" s="1">
        <v>80.333333333333343</v>
      </c>
      <c r="E244" s="1" t="s">
        <v>132</v>
      </c>
    </row>
    <row r="245" spans="1:5" x14ac:dyDescent="0.25">
      <c r="A245" s="2">
        <v>45261</v>
      </c>
      <c r="B245" s="1">
        <v>2023</v>
      </c>
      <c r="C245" s="1">
        <v>12</v>
      </c>
      <c r="D245" s="1">
        <v>14998.89945652174</v>
      </c>
      <c r="E245" s="1" t="s">
        <v>8</v>
      </c>
    </row>
    <row r="246" spans="1:5" x14ac:dyDescent="0.25">
      <c r="A246" s="2">
        <v>45261</v>
      </c>
      <c r="B246" s="1">
        <v>2023</v>
      </c>
      <c r="C246" s="1">
        <v>12</v>
      </c>
      <c r="D246" s="1">
        <v>10.694395244417219</v>
      </c>
      <c r="E246" s="1" t="s">
        <v>131</v>
      </c>
    </row>
    <row r="247" spans="1:5" x14ac:dyDescent="0.25">
      <c r="A247" s="2">
        <v>45261</v>
      </c>
      <c r="B247" s="1">
        <v>2023</v>
      </c>
      <c r="C247" s="1">
        <v>12</v>
      </c>
      <c r="D247" s="1">
        <v>52.243636363636362</v>
      </c>
      <c r="E247" s="1" t="s">
        <v>11</v>
      </c>
    </row>
    <row r="248" spans="1:5" x14ac:dyDescent="0.25">
      <c r="A248" s="2">
        <v>45261</v>
      </c>
      <c r="B248" s="1">
        <v>2023</v>
      </c>
      <c r="C248" s="1">
        <v>12</v>
      </c>
      <c r="D248" s="1">
        <v>83</v>
      </c>
      <c r="E248" s="1" t="s">
        <v>133</v>
      </c>
    </row>
    <row r="249" spans="1:5" x14ac:dyDescent="0.25">
      <c r="A249" s="2">
        <v>45266</v>
      </c>
      <c r="B249" s="1">
        <v>2023</v>
      </c>
      <c r="C249" s="1">
        <v>12</v>
      </c>
      <c r="D249" s="1">
        <v>1.5303062754337589</v>
      </c>
      <c r="E249" s="1" t="s">
        <v>12</v>
      </c>
    </row>
    <row r="250" spans="1:5" x14ac:dyDescent="0.25">
      <c r="A250" s="2">
        <v>45268</v>
      </c>
      <c r="B250" s="1">
        <v>2023</v>
      </c>
      <c r="C250" s="1">
        <v>12</v>
      </c>
      <c r="D250" s="1">
        <v>280.90909090909088</v>
      </c>
      <c r="E250" s="1" t="s">
        <v>7</v>
      </c>
    </row>
    <row r="251" spans="1:5" x14ac:dyDescent="0.25">
      <c r="A251" s="2">
        <v>45268</v>
      </c>
      <c r="B251" s="1">
        <v>2023</v>
      </c>
      <c r="C251" s="1">
        <v>12</v>
      </c>
      <c r="D251" s="1">
        <v>85</v>
      </c>
      <c r="E251" s="1" t="s">
        <v>133</v>
      </c>
    </row>
    <row r="252" spans="1:5" x14ac:dyDescent="0.25">
      <c r="A252" s="2">
        <v>45268</v>
      </c>
      <c r="B252" s="1">
        <v>2023</v>
      </c>
      <c r="C252" s="1">
        <v>12</v>
      </c>
      <c r="D252" s="1">
        <v>6423.825352380949</v>
      </c>
      <c r="E252" s="1" t="s">
        <v>130</v>
      </c>
    </row>
    <row r="253" spans="1:5" x14ac:dyDescent="0.25">
      <c r="A253" s="2">
        <v>45268</v>
      </c>
      <c r="B253" s="1">
        <v>2023</v>
      </c>
      <c r="C253" s="1">
        <v>12</v>
      </c>
      <c r="D253" s="1">
        <v>11.162705524918309</v>
      </c>
      <c r="E253" s="1" t="s">
        <v>131</v>
      </c>
    </row>
    <row r="254" spans="1:5" x14ac:dyDescent="0.25">
      <c r="A254" s="2">
        <v>45268</v>
      </c>
      <c r="B254" s="1">
        <v>2023</v>
      </c>
      <c r="C254" s="1">
        <v>12</v>
      </c>
      <c r="D254" s="1">
        <v>95.333333333333343</v>
      </c>
      <c r="E254" s="1" t="s">
        <v>132</v>
      </c>
    </row>
    <row r="255" spans="1:5" x14ac:dyDescent="0.25">
      <c r="A255" s="2">
        <v>45275</v>
      </c>
      <c r="B255" s="1">
        <v>2023</v>
      </c>
      <c r="C255" s="1">
        <v>12</v>
      </c>
      <c r="D255" s="1">
        <v>275.45454545454544</v>
      </c>
      <c r="E255" s="1" t="s">
        <v>7</v>
      </c>
    </row>
    <row r="256" spans="1:5" x14ac:dyDescent="0.25">
      <c r="A256" s="2">
        <v>45275</v>
      </c>
      <c r="B256" s="1">
        <v>2023</v>
      </c>
      <c r="C256" s="1">
        <v>12</v>
      </c>
      <c r="D256" s="1">
        <v>5975.3528190476191</v>
      </c>
      <c r="E256" s="1" t="s">
        <v>130</v>
      </c>
    </row>
    <row r="257" spans="1:5" x14ac:dyDescent="0.25">
      <c r="A257" s="2">
        <v>45275</v>
      </c>
      <c r="B257" s="1">
        <v>2023</v>
      </c>
      <c r="C257" s="1">
        <v>12</v>
      </c>
      <c r="D257" s="1">
        <v>11.48405613851444</v>
      </c>
      <c r="E257" s="1" t="s">
        <v>131</v>
      </c>
    </row>
    <row r="258" spans="1:5" x14ac:dyDescent="0.25">
      <c r="A258" s="2">
        <v>45275</v>
      </c>
      <c r="B258" s="1">
        <v>2023</v>
      </c>
      <c r="C258" s="1">
        <v>12</v>
      </c>
      <c r="D258" s="1">
        <v>94.666666666666657</v>
      </c>
      <c r="E258" s="1" t="s">
        <v>132</v>
      </c>
    </row>
    <row r="259" spans="1:5" x14ac:dyDescent="0.25">
      <c r="A259" s="2">
        <v>45275</v>
      </c>
      <c r="B259" s="1">
        <v>2023</v>
      </c>
      <c r="C259" s="1">
        <v>12</v>
      </c>
      <c r="D259" s="1">
        <v>87</v>
      </c>
      <c r="E259" s="1" t="s">
        <v>133</v>
      </c>
    </row>
    <row r="260" spans="1:5" x14ac:dyDescent="0.25">
      <c r="A260" s="2">
        <v>45282</v>
      </c>
      <c r="B260" s="1">
        <v>2023</v>
      </c>
      <c r="C260" s="1">
        <v>12</v>
      </c>
      <c r="D260" s="1">
        <v>278.18181818181813</v>
      </c>
      <c r="E260" s="1" t="s">
        <v>7</v>
      </c>
    </row>
    <row r="261" spans="1:5" x14ac:dyDescent="0.25">
      <c r="A261" s="2">
        <v>45282</v>
      </c>
      <c r="B261" s="1">
        <v>2023</v>
      </c>
      <c r="C261" s="1">
        <v>12</v>
      </c>
      <c r="D261" s="1">
        <v>6698.9150857142868</v>
      </c>
      <c r="E261" s="1" t="s">
        <v>130</v>
      </c>
    </row>
    <row r="262" spans="1:5" x14ac:dyDescent="0.25">
      <c r="A262" s="2">
        <v>45282</v>
      </c>
      <c r="B262" s="1">
        <v>2023</v>
      </c>
      <c r="C262" s="1">
        <v>12</v>
      </c>
      <c r="D262" s="1">
        <v>11.48405613851444</v>
      </c>
      <c r="E262" s="1" t="s">
        <v>131</v>
      </c>
    </row>
    <row r="263" spans="1:5" x14ac:dyDescent="0.25">
      <c r="A263" s="2">
        <v>45282</v>
      </c>
      <c r="B263" s="1">
        <v>2023</v>
      </c>
      <c r="C263" s="1">
        <v>12</v>
      </c>
      <c r="D263" s="1">
        <v>94.666666666666657</v>
      </c>
      <c r="E263" s="1" t="s">
        <v>132</v>
      </c>
    </row>
    <row r="264" spans="1:5" x14ac:dyDescent="0.25">
      <c r="A264" s="2">
        <v>45282</v>
      </c>
      <c r="B264" s="1">
        <v>2023</v>
      </c>
      <c r="C264" s="1">
        <v>12</v>
      </c>
      <c r="D264" s="1">
        <v>87</v>
      </c>
      <c r="E264" s="1" t="s">
        <v>133</v>
      </c>
    </row>
    <row r="265" spans="1:5" x14ac:dyDescent="0.25">
      <c r="A265" s="2">
        <v>45289</v>
      </c>
      <c r="B265" s="1">
        <v>2023</v>
      </c>
      <c r="C265" s="1">
        <v>12</v>
      </c>
      <c r="D265" s="1">
        <v>267.27272727272725</v>
      </c>
      <c r="E265" s="1" t="s">
        <v>7</v>
      </c>
    </row>
    <row r="266" spans="1:5" x14ac:dyDescent="0.25">
      <c r="A266" s="2">
        <v>45289</v>
      </c>
      <c r="B266" s="1">
        <v>2023</v>
      </c>
      <c r="C266" s="1">
        <v>12</v>
      </c>
      <c r="D266" s="1">
        <v>5855.5718857142874</v>
      </c>
      <c r="E266" s="1" t="s">
        <v>130</v>
      </c>
    </row>
    <row r="267" spans="1:5" x14ac:dyDescent="0.25">
      <c r="A267" s="2">
        <v>45289</v>
      </c>
      <c r="B267" s="1">
        <v>2023</v>
      </c>
      <c r="C267" s="1">
        <v>12</v>
      </c>
      <c r="D267" s="1">
        <v>10.975703082448263</v>
      </c>
      <c r="E267" s="1" t="s">
        <v>131</v>
      </c>
    </row>
    <row r="268" spans="1:5" x14ac:dyDescent="0.25">
      <c r="A268" s="2">
        <v>45289</v>
      </c>
      <c r="B268" s="1">
        <v>2023</v>
      </c>
      <c r="C268" s="1">
        <v>12</v>
      </c>
      <c r="D268" s="1">
        <v>94.666666666666671</v>
      </c>
      <c r="E268" s="1" t="s">
        <v>132</v>
      </c>
    </row>
    <row r="269" spans="1:5" x14ac:dyDescent="0.25">
      <c r="A269" s="2">
        <v>45289</v>
      </c>
      <c r="B269" s="1">
        <v>2023</v>
      </c>
      <c r="C269" s="1">
        <v>12</v>
      </c>
      <c r="D269" s="1">
        <v>87</v>
      </c>
      <c r="E269" s="1" t="s">
        <v>133</v>
      </c>
    </row>
    <row r="270" spans="1:5" x14ac:dyDescent="0.25">
      <c r="A270" s="2">
        <v>45292</v>
      </c>
      <c r="B270" s="1">
        <v>2024</v>
      </c>
      <c r="C270" s="1">
        <v>1</v>
      </c>
      <c r="D270" s="1">
        <v>122.75300343249427</v>
      </c>
      <c r="E270" s="1" t="s">
        <v>10</v>
      </c>
    </row>
    <row r="271" spans="1:5" x14ac:dyDescent="0.25">
      <c r="A271" s="2">
        <v>45292</v>
      </c>
      <c r="B271" s="1">
        <v>2024</v>
      </c>
      <c r="C271" s="1">
        <v>1</v>
      </c>
      <c r="D271" s="1">
        <v>404</v>
      </c>
      <c r="E271" s="1" t="s">
        <v>9</v>
      </c>
    </row>
    <row r="272" spans="1:5" x14ac:dyDescent="0.25">
      <c r="A272" s="2">
        <v>45292</v>
      </c>
      <c r="B272" s="1">
        <v>2024</v>
      </c>
      <c r="C272" s="1">
        <v>1</v>
      </c>
      <c r="D272" s="1">
        <v>42.8</v>
      </c>
      <c r="E272" s="1" t="s">
        <v>11</v>
      </c>
    </row>
    <row r="273" spans="1:5" x14ac:dyDescent="0.25">
      <c r="A273" s="2">
        <v>45292</v>
      </c>
      <c r="B273" s="1">
        <v>2024</v>
      </c>
      <c r="C273" s="1">
        <v>1</v>
      </c>
      <c r="D273" s="1">
        <v>15753.58173076923</v>
      </c>
      <c r="E273" s="1" t="s">
        <v>8</v>
      </c>
    </row>
    <row r="274" spans="1:5" x14ac:dyDescent="0.25">
      <c r="A274" s="2">
        <v>45296</v>
      </c>
      <c r="B274" s="1">
        <v>2024</v>
      </c>
      <c r="C274" s="1">
        <v>1</v>
      </c>
      <c r="D274" s="1">
        <v>10.167061121323536</v>
      </c>
      <c r="E274" s="1" t="s">
        <v>131</v>
      </c>
    </row>
    <row r="275" spans="1:5" x14ac:dyDescent="0.25">
      <c r="A275" s="2">
        <v>45296</v>
      </c>
      <c r="B275" s="1">
        <v>2024</v>
      </c>
      <c r="C275" s="1">
        <v>1</v>
      </c>
      <c r="D275" s="1">
        <v>60</v>
      </c>
      <c r="E275" s="1" t="s">
        <v>134</v>
      </c>
    </row>
    <row r="276" spans="1:5" x14ac:dyDescent="0.25">
      <c r="A276" s="2">
        <v>45296</v>
      </c>
      <c r="B276" s="1">
        <v>2024</v>
      </c>
      <c r="C276" s="1">
        <v>1</v>
      </c>
      <c r="D276" s="1">
        <v>63.252499999999998</v>
      </c>
      <c r="E276" s="1" t="s">
        <v>5</v>
      </c>
    </row>
    <row r="277" spans="1:5" x14ac:dyDescent="0.25">
      <c r="A277" s="2">
        <v>45296</v>
      </c>
      <c r="B277" s="1">
        <v>2024</v>
      </c>
      <c r="C277" s="1">
        <v>1</v>
      </c>
      <c r="D277" s="1">
        <v>88.333333333333343</v>
      </c>
      <c r="E277" s="1" t="s">
        <v>132</v>
      </c>
    </row>
    <row r="278" spans="1:5" x14ac:dyDescent="0.25">
      <c r="A278" s="2">
        <v>45296</v>
      </c>
      <c r="B278" s="1">
        <v>2024</v>
      </c>
      <c r="C278" s="1">
        <v>1</v>
      </c>
      <c r="D278" s="1">
        <v>86.666666666666671</v>
      </c>
      <c r="E278" s="1" t="s">
        <v>133</v>
      </c>
    </row>
    <row r="279" spans="1:5" x14ac:dyDescent="0.25">
      <c r="A279" s="2">
        <v>45303</v>
      </c>
      <c r="B279" s="1">
        <v>2024</v>
      </c>
      <c r="C279" s="1">
        <v>1</v>
      </c>
      <c r="D279" s="1">
        <v>10.283107305964059</v>
      </c>
      <c r="E279" s="1" t="s">
        <v>131</v>
      </c>
    </row>
    <row r="280" spans="1:5" x14ac:dyDescent="0.25">
      <c r="A280" s="2">
        <v>45303</v>
      </c>
      <c r="B280" s="1">
        <v>2024</v>
      </c>
      <c r="C280" s="1">
        <v>1</v>
      </c>
      <c r="D280" s="1">
        <v>65.150999999999996</v>
      </c>
      <c r="E280" s="1" t="s">
        <v>5</v>
      </c>
    </row>
    <row r="281" spans="1:5" x14ac:dyDescent="0.25">
      <c r="A281" s="2">
        <v>45303</v>
      </c>
      <c r="B281" s="1">
        <v>2024</v>
      </c>
      <c r="C281" s="1">
        <v>1</v>
      </c>
      <c r="D281" s="1">
        <v>78.75</v>
      </c>
      <c r="E281" s="1" t="s">
        <v>134</v>
      </c>
    </row>
    <row r="282" spans="1:5" x14ac:dyDescent="0.25">
      <c r="A282" s="2">
        <v>45303</v>
      </c>
      <c r="B282" s="1">
        <v>2024</v>
      </c>
      <c r="C282" s="1">
        <v>1</v>
      </c>
      <c r="D282" s="1">
        <v>87.666666666666657</v>
      </c>
      <c r="E282" s="1" t="s">
        <v>132</v>
      </c>
    </row>
    <row r="283" spans="1:5" x14ac:dyDescent="0.25">
      <c r="A283" s="2">
        <v>45303</v>
      </c>
      <c r="B283" s="1">
        <v>2024</v>
      </c>
      <c r="C283" s="1">
        <v>1</v>
      </c>
      <c r="D283" s="1">
        <v>59.782655476651598</v>
      </c>
      <c r="E283" s="1" t="s">
        <v>12</v>
      </c>
    </row>
    <row r="284" spans="1:5" x14ac:dyDescent="0.25">
      <c r="A284" s="2">
        <v>45303</v>
      </c>
      <c r="B284" s="1">
        <v>2024</v>
      </c>
      <c r="C284" s="1">
        <v>1</v>
      </c>
      <c r="D284" s="1">
        <v>272.72727272727269</v>
      </c>
      <c r="E284" s="1" t="s">
        <v>7</v>
      </c>
    </row>
    <row r="285" spans="1:5" x14ac:dyDescent="0.25">
      <c r="A285" s="2">
        <v>45303</v>
      </c>
      <c r="B285" s="1">
        <v>2024</v>
      </c>
      <c r="C285" s="1">
        <v>1</v>
      </c>
      <c r="D285" s="1">
        <v>88.666666666666671</v>
      </c>
      <c r="E285" s="1" t="s">
        <v>133</v>
      </c>
    </row>
    <row r="286" spans="1:5" x14ac:dyDescent="0.25">
      <c r="A286" s="2">
        <v>45310</v>
      </c>
      <c r="B286" s="1">
        <v>2024</v>
      </c>
      <c r="C286" s="1">
        <v>1</v>
      </c>
      <c r="D286" s="1">
        <v>11.028038236996194</v>
      </c>
      <c r="E286" s="1" t="s">
        <v>131</v>
      </c>
    </row>
    <row r="287" spans="1:5" x14ac:dyDescent="0.25">
      <c r="A287" s="2">
        <v>45310</v>
      </c>
      <c r="B287" s="1">
        <v>2024</v>
      </c>
      <c r="C287" s="1">
        <v>1</v>
      </c>
      <c r="D287" s="1">
        <v>67.288999999999987</v>
      </c>
      <c r="E287" s="1" t="s">
        <v>5</v>
      </c>
    </row>
    <row r="288" spans="1:5" x14ac:dyDescent="0.25">
      <c r="A288" s="2">
        <v>45310</v>
      </c>
      <c r="B288" s="1">
        <v>2024</v>
      </c>
      <c r="C288" s="1">
        <v>1</v>
      </c>
      <c r="D288" s="1">
        <v>275.22727272727269</v>
      </c>
      <c r="E288" s="1" t="s">
        <v>7</v>
      </c>
    </row>
    <row r="289" spans="1:5" x14ac:dyDescent="0.25">
      <c r="A289" s="2">
        <v>45310</v>
      </c>
      <c r="B289" s="1">
        <v>2024</v>
      </c>
      <c r="C289" s="1">
        <v>1</v>
      </c>
      <c r="D289" s="1">
        <v>90</v>
      </c>
      <c r="E289" s="1" t="s">
        <v>133</v>
      </c>
    </row>
    <row r="290" spans="1:5" x14ac:dyDescent="0.25">
      <c r="A290" s="2">
        <v>45310</v>
      </c>
      <c r="B290" s="1">
        <v>2024</v>
      </c>
      <c r="C290" s="1">
        <v>1</v>
      </c>
      <c r="D290" s="1">
        <v>6545.7781257142833</v>
      </c>
      <c r="E290" s="1" t="s">
        <v>130</v>
      </c>
    </row>
    <row r="291" spans="1:5" x14ac:dyDescent="0.25">
      <c r="A291" s="2">
        <v>45310</v>
      </c>
      <c r="B291" s="1">
        <v>2024</v>
      </c>
      <c r="C291" s="1">
        <v>1</v>
      </c>
      <c r="D291" s="1">
        <v>49.0625</v>
      </c>
      <c r="E291" s="1" t="s">
        <v>134</v>
      </c>
    </row>
    <row r="292" spans="1:5" x14ac:dyDescent="0.25">
      <c r="A292" s="2">
        <v>45310</v>
      </c>
      <c r="B292" s="1">
        <v>2024</v>
      </c>
      <c r="C292" s="1">
        <v>1</v>
      </c>
      <c r="D292" s="1">
        <v>94</v>
      </c>
      <c r="E292" s="1" t="s">
        <v>132</v>
      </c>
    </row>
    <row r="293" spans="1:5" x14ac:dyDescent="0.25">
      <c r="A293" s="2">
        <v>45317</v>
      </c>
      <c r="B293" s="1">
        <v>2024</v>
      </c>
      <c r="C293" s="1">
        <v>1</v>
      </c>
      <c r="D293" s="1">
        <v>11.14713262527234</v>
      </c>
      <c r="E293" s="1" t="s">
        <v>131</v>
      </c>
    </row>
    <row r="294" spans="1:5" x14ac:dyDescent="0.25">
      <c r="A294" s="2">
        <v>45317</v>
      </c>
      <c r="B294" s="1">
        <v>2024</v>
      </c>
      <c r="C294" s="1">
        <v>1</v>
      </c>
      <c r="D294" s="1">
        <v>66.408000000000015</v>
      </c>
      <c r="E294" s="1" t="s">
        <v>5</v>
      </c>
    </row>
    <row r="295" spans="1:5" x14ac:dyDescent="0.25">
      <c r="A295" s="2">
        <v>45317</v>
      </c>
      <c r="B295" s="1">
        <v>2024</v>
      </c>
      <c r="C295" s="1">
        <v>1</v>
      </c>
      <c r="D295" s="1">
        <v>73.5</v>
      </c>
      <c r="E295" s="1" t="s">
        <v>134</v>
      </c>
    </row>
    <row r="296" spans="1:5" x14ac:dyDescent="0.25">
      <c r="A296" s="2">
        <v>45317</v>
      </c>
      <c r="B296" s="1">
        <v>2024</v>
      </c>
      <c r="C296" s="1">
        <v>1</v>
      </c>
      <c r="D296" s="1">
        <v>96</v>
      </c>
      <c r="E296" s="1" t="s">
        <v>132</v>
      </c>
    </row>
    <row r="297" spans="1:5" x14ac:dyDescent="0.25">
      <c r="A297" s="2">
        <v>45317</v>
      </c>
      <c r="B297" s="1">
        <v>2024</v>
      </c>
      <c r="C297" s="1">
        <v>1</v>
      </c>
      <c r="D297" s="1">
        <v>310</v>
      </c>
      <c r="E297" s="1" t="s">
        <v>7</v>
      </c>
    </row>
    <row r="298" spans="1:5" x14ac:dyDescent="0.25">
      <c r="A298" s="2">
        <v>45317</v>
      </c>
      <c r="B298" s="1">
        <v>2024</v>
      </c>
      <c r="C298" s="1">
        <v>1</v>
      </c>
      <c r="D298" s="1">
        <v>6603.7541357142854</v>
      </c>
      <c r="E298" s="1" t="s">
        <v>130</v>
      </c>
    </row>
    <row r="299" spans="1:5" x14ac:dyDescent="0.25">
      <c r="A299" s="2">
        <v>45317</v>
      </c>
      <c r="B299" s="1">
        <v>2024</v>
      </c>
      <c r="C299" s="1">
        <v>1</v>
      </c>
      <c r="D299" s="1">
        <v>89.333333333333329</v>
      </c>
      <c r="E299" s="1" t="s">
        <v>133</v>
      </c>
    </row>
    <row r="300" spans="1:5" x14ac:dyDescent="0.25">
      <c r="A300" s="2">
        <v>45323</v>
      </c>
      <c r="B300" s="1">
        <v>2024</v>
      </c>
      <c r="C300" s="1">
        <v>2</v>
      </c>
      <c r="D300" s="1">
        <v>36.486666666666665</v>
      </c>
      <c r="E300" s="1" t="s">
        <v>11</v>
      </c>
    </row>
    <row r="301" spans="1:5" x14ac:dyDescent="0.25">
      <c r="A301" s="2">
        <v>45323</v>
      </c>
      <c r="B301" s="1">
        <v>2024</v>
      </c>
      <c r="C301" s="1">
        <v>2</v>
      </c>
      <c r="D301" s="1">
        <v>15995.539772727272</v>
      </c>
      <c r="E301" s="1" t="s">
        <v>8</v>
      </c>
    </row>
    <row r="302" spans="1:5" x14ac:dyDescent="0.25">
      <c r="A302" s="2">
        <v>45323</v>
      </c>
      <c r="B302" s="1">
        <v>2024</v>
      </c>
      <c r="C302" s="1">
        <v>2</v>
      </c>
      <c r="D302" s="1">
        <v>387</v>
      </c>
      <c r="E302" s="1" t="s">
        <v>9</v>
      </c>
    </row>
    <row r="303" spans="1:5" x14ac:dyDescent="0.25">
      <c r="A303" s="2">
        <v>45323</v>
      </c>
      <c r="B303" s="1">
        <v>2024</v>
      </c>
      <c r="C303" s="1">
        <v>2</v>
      </c>
      <c r="D303" s="1">
        <v>123.99839572192514</v>
      </c>
      <c r="E303" s="1" t="s">
        <v>10</v>
      </c>
    </row>
    <row r="304" spans="1:5" x14ac:dyDescent="0.25">
      <c r="A304" s="2">
        <v>45324</v>
      </c>
      <c r="B304" s="1">
        <v>2024</v>
      </c>
      <c r="C304" s="1">
        <v>2</v>
      </c>
      <c r="D304" s="1">
        <v>10.910730902777786</v>
      </c>
      <c r="E304" s="1" t="s">
        <v>131</v>
      </c>
    </row>
    <row r="305" spans="1:5" x14ac:dyDescent="0.25">
      <c r="A305" s="2">
        <v>45324</v>
      </c>
      <c r="B305" s="1">
        <v>2024</v>
      </c>
      <c r="C305" s="1">
        <v>2</v>
      </c>
      <c r="D305" s="1">
        <v>68.194000000000003</v>
      </c>
      <c r="E305" s="1" t="s">
        <v>5</v>
      </c>
    </row>
    <row r="306" spans="1:5" x14ac:dyDescent="0.25">
      <c r="A306" s="2">
        <v>45324</v>
      </c>
      <c r="B306" s="1">
        <v>2024</v>
      </c>
      <c r="C306" s="1">
        <v>2</v>
      </c>
      <c r="D306" s="1">
        <v>91.666666666666657</v>
      </c>
      <c r="E306" s="1" t="s">
        <v>132</v>
      </c>
    </row>
    <row r="307" spans="1:5" x14ac:dyDescent="0.25">
      <c r="A307" s="2">
        <v>45324</v>
      </c>
      <c r="B307" s="1">
        <v>2024</v>
      </c>
      <c r="C307" s="1">
        <v>2</v>
      </c>
      <c r="D307" s="1">
        <v>6388.9630857142856</v>
      </c>
      <c r="E307" s="1" t="s">
        <v>130</v>
      </c>
    </row>
    <row r="308" spans="1:5" x14ac:dyDescent="0.25">
      <c r="A308" s="2">
        <v>45324</v>
      </c>
      <c r="B308" s="1">
        <v>2024</v>
      </c>
      <c r="C308" s="1">
        <v>2</v>
      </c>
      <c r="D308" s="1">
        <v>322.27272727272725</v>
      </c>
      <c r="E308" s="1" t="s">
        <v>7</v>
      </c>
    </row>
    <row r="309" spans="1:5" x14ac:dyDescent="0.25">
      <c r="A309" s="2">
        <v>45324</v>
      </c>
      <c r="B309" s="1">
        <v>2024</v>
      </c>
      <c r="C309" s="1">
        <v>2</v>
      </c>
      <c r="D309" s="1">
        <v>46.125</v>
      </c>
      <c r="E309" s="1" t="s">
        <v>134</v>
      </c>
    </row>
    <row r="310" spans="1:5" x14ac:dyDescent="0.25">
      <c r="A310" s="2">
        <v>45324</v>
      </c>
      <c r="B310" s="1">
        <v>2024</v>
      </c>
      <c r="C310" s="1">
        <v>2</v>
      </c>
      <c r="D310" s="1">
        <v>87.333333333333329</v>
      </c>
      <c r="E310" s="1" t="s">
        <v>133</v>
      </c>
    </row>
    <row r="311" spans="1:5" x14ac:dyDescent="0.25">
      <c r="A311" s="2">
        <v>45331</v>
      </c>
      <c r="B311" s="1">
        <v>2024</v>
      </c>
      <c r="C311" s="1">
        <v>2</v>
      </c>
      <c r="D311" s="1">
        <v>10.857757514637806</v>
      </c>
      <c r="E311" s="1" t="s">
        <v>131</v>
      </c>
    </row>
    <row r="312" spans="1:5" x14ac:dyDescent="0.25">
      <c r="A312" s="2">
        <v>45331</v>
      </c>
      <c r="B312" s="1">
        <v>2024</v>
      </c>
      <c r="C312" s="1">
        <v>2</v>
      </c>
      <c r="D312" s="1">
        <v>67.043999999999997</v>
      </c>
      <c r="E312" s="1" t="s">
        <v>5</v>
      </c>
    </row>
    <row r="313" spans="1:5" x14ac:dyDescent="0.25">
      <c r="A313" s="2">
        <v>45331</v>
      </c>
      <c r="B313" s="1">
        <v>2024</v>
      </c>
      <c r="C313" s="1">
        <v>2</v>
      </c>
      <c r="D313" s="1">
        <v>45.25</v>
      </c>
      <c r="E313" s="1" t="s">
        <v>134</v>
      </c>
    </row>
    <row r="314" spans="1:5" x14ac:dyDescent="0.25">
      <c r="A314" s="2">
        <v>45331</v>
      </c>
      <c r="B314" s="1">
        <v>2024</v>
      </c>
      <c r="C314" s="1">
        <v>2</v>
      </c>
      <c r="D314" s="1">
        <v>88.333333333333329</v>
      </c>
      <c r="E314" s="1" t="s">
        <v>133</v>
      </c>
    </row>
    <row r="315" spans="1:5" x14ac:dyDescent="0.25">
      <c r="A315" s="2">
        <v>45331</v>
      </c>
      <c r="B315" s="1">
        <v>2024</v>
      </c>
      <c r="C315" s="1">
        <v>2</v>
      </c>
      <c r="D315" s="1">
        <v>60.110178384050414</v>
      </c>
      <c r="E315" s="1" t="s">
        <v>12</v>
      </c>
    </row>
    <row r="316" spans="1:5" x14ac:dyDescent="0.25">
      <c r="A316" s="2">
        <v>45331</v>
      </c>
      <c r="B316" s="1">
        <v>2024</v>
      </c>
      <c r="C316" s="1">
        <v>2</v>
      </c>
      <c r="D316" s="1">
        <v>326.59090909090907</v>
      </c>
      <c r="E316" s="1" t="s">
        <v>7</v>
      </c>
    </row>
    <row r="317" spans="1:5" x14ac:dyDescent="0.25">
      <c r="A317" s="2">
        <v>45331</v>
      </c>
      <c r="B317" s="1">
        <v>2024</v>
      </c>
      <c r="C317" s="1">
        <v>2</v>
      </c>
      <c r="D317" s="1">
        <v>5416.2422357142841</v>
      </c>
      <c r="E317" s="1" t="s">
        <v>130</v>
      </c>
    </row>
    <row r="318" spans="1:5" x14ac:dyDescent="0.25">
      <c r="A318" s="2">
        <v>45331</v>
      </c>
      <c r="B318" s="1">
        <v>2024</v>
      </c>
      <c r="C318" s="1">
        <v>2</v>
      </c>
      <c r="D318" s="1">
        <v>90.666666666666671</v>
      </c>
      <c r="E318" s="1" t="s">
        <v>132</v>
      </c>
    </row>
    <row r="319" spans="1:5" x14ac:dyDescent="0.25">
      <c r="A319" s="2">
        <v>45338</v>
      </c>
      <c r="B319" s="1">
        <v>2024</v>
      </c>
      <c r="C319" s="1">
        <v>2</v>
      </c>
      <c r="D319" s="1">
        <v>10.73662077886711</v>
      </c>
      <c r="E319" s="1" t="s">
        <v>131</v>
      </c>
    </row>
    <row r="320" spans="1:5" x14ac:dyDescent="0.25">
      <c r="A320" s="2">
        <v>45338</v>
      </c>
      <c r="B320" s="1">
        <v>2024</v>
      </c>
      <c r="C320" s="1">
        <v>2</v>
      </c>
      <c r="D320" s="1">
        <v>70.577500000000001</v>
      </c>
      <c r="E320" s="1" t="s">
        <v>5</v>
      </c>
    </row>
    <row r="321" spans="1:5" x14ac:dyDescent="0.25">
      <c r="A321" s="2">
        <v>45338</v>
      </c>
      <c r="B321" s="1">
        <v>2024</v>
      </c>
      <c r="C321" s="1">
        <v>2</v>
      </c>
      <c r="D321" s="1">
        <v>5208.8866857142839</v>
      </c>
      <c r="E321" s="1" t="s">
        <v>130</v>
      </c>
    </row>
    <row r="322" spans="1:5" x14ac:dyDescent="0.25">
      <c r="A322" s="2">
        <v>45338</v>
      </c>
      <c r="B322" s="1">
        <v>2024</v>
      </c>
      <c r="C322" s="1">
        <v>2</v>
      </c>
      <c r="D322" s="1">
        <v>91</v>
      </c>
      <c r="E322" s="1" t="s">
        <v>132</v>
      </c>
    </row>
    <row r="323" spans="1:5" x14ac:dyDescent="0.25">
      <c r="A323" s="2">
        <v>45338</v>
      </c>
      <c r="B323" s="1">
        <v>2024</v>
      </c>
      <c r="C323" s="1">
        <v>2</v>
      </c>
      <c r="D323" s="1">
        <v>44.5</v>
      </c>
      <c r="E323" s="1" t="s">
        <v>134</v>
      </c>
    </row>
    <row r="324" spans="1:5" x14ac:dyDescent="0.25">
      <c r="A324" s="2">
        <v>45338</v>
      </c>
      <c r="B324" s="1">
        <v>2024</v>
      </c>
      <c r="C324" s="1">
        <v>2</v>
      </c>
      <c r="D324" s="1">
        <v>322.72727272727269</v>
      </c>
      <c r="E324" s="1" t="s">
        <v>7</v>
      </c>
    </row>
    <row r="325" spans="1:5" x14ac:dyDescent="0.25">
      <c r="A325" s="2">
        <v>45338</v>
      </c>
      <c r="B325" s="1">
        <v>2024</v>
      </c>
      <c r="C325" s="1">
        <v>2</v>
      </c>
      <c r="D325" s="1">
        <v>91.333333333333329</v>
      </c>
      <c r="E325" s="1" t="s">
        <v>133</v>
      </c>
    </row>
    <row r="326" spans="1:5" x14ac:dyDescent="0.25">
      <c r="A326" s="2">
        <v>45345</v>
      </c>
      <c r="B326" s="1">
        <v>2024</v>
      </c>
      <c r="C326" s="1">
        <v>2</v>
      </c>
      <c r="D326" s="1">
        <v>10.782701244212971</v>
      </c>
      <c r="E326" s="1" t="s">
        <v>131</v>
      </c>
    </row>
    <row r="327" spans="1:5" x14ac:dyDescent="0.25">
      <c r="A327" s="2">
        <v>45345</v>
      </c>
      <c r="B327" s="1">
        <v>2024</v>
      </c>
      <c r="C327" s="1">
        <v>2</v>
      </c>
      <c r="D327" s="1">
        <v>70.275499999999994</v>
      </c>
      <c r="E327" s="1" t="s">
        <v>5</v>
      </c>
    </row>
    <row r="328" spans="1:5" x14ac:dyDescent="0.25">
      <c r="A328" s="2">
        <v>45345</v>
      </c>
      <c r="B328" s="1">
        <v>2024</v>
      </c>
      <c r="C328" s="1">
        <v>2</v>
      </c>
      <c r="D328" s="1">
        <v>318.92857142857144</v>
      </c>
      <c r="E328" s="1" t="s">
        <v>7</v>
      </c>
    </row>
    <row r="329" spans="1:5" x14ac:dyDescent="0.25">
      <c r="A329" s="2">
        <v>45345</v>
      </c>
      <c r="B329" s="1">
        <v>2024</v>
      </c>
      <c r="C329" s="1">
        <v>2</v>
      </c>
      <c r="D329" s="1">
        <v>94.333333333333329</v>
      </c>
      <c r="E329" s="1" t="s">
        <v>132</v>
      </c>
    </row>
    <row r="330" spans="1:5" x14ac:dyDescent="0.25">
      <c r="A330" s="2">
        <v>45345</v>
      </c>
      <c r="B330" s="1">
        <v>2024</v>
      </c>
      <c r="C330" s="1">
        <v>2</v>
      </c>
      <c r="D330" s="1">
        <v>4849.6746857142862</v>
      </c>
      <c r="E330" s="1" t="s">
        <v>130</v>
      </c>
    </row>
    <row r="331" spans="1:5" x14ac:dyDescent="0.25">
      <c r="A331" s="2">
        <v>45345</v>
      </c>
      <c r="B331" s="1">
        <v>2024</v>
      </c>
      <c r="C331" s="1">
        <v>2</v>
      </c>
      <c r="D331" s="1">
        <v>39.625</v>
      </c>
      <c r="E331" s="1" t="s">
        <v>134</v>
      </c>
    </row>
    <row r="332" spans="1:5" x14ac:dyDescent="0.25">
      <c r="A332" s="2">
        <v>45345</v>
      </c>
      <c r="B332" s="1">
        <v>2024</v>
      </c>
      <c r="C332" s="1">
        <v>2</v>
      </c>
      <c r="D332" s="1">
        <v>92.666666666666671</v>
      </c>
      <c r="E332" s="1" t="s">
        <v>133</v>
      </c>
    </row>
    <row r="333" spans="1:5" x14ac:dyDescent="0.25">
      <c r="A333" s="2">
        <v>45352</v>
      </c>
      <c r="B333" s="1">
        <v>2024</v>
      </c>
      <c r="C333" s="1">
        <v>3</v>
      </c>
      <c r="D333" s="1">
        <v>389</v>
      </c>
      <c r="E333" s="1" t="s">
        <v>9</v>
      </c>
    </row>
    <row r="334" spans="1:5" x14ac:dyDescent="0.25">
      <c r="A334" s="2">
        <v>45352</v>
      </c>
      <c r="B334" s="1">
        <v>2024</v>
      </c>
      <c r="C334" s="1">
        <v>3</v>
      </c>
      <c r="D334" s="1">
        <v>123.10672905525848</v>
      </c>
      <c r="E334" s="1" t="s">
        <v>10</v>
      </c>
    </row>
    <row r="335" spans="1:5" x14ac:dyDescent="0.25">
      <c r="A335" s="2">
        <v>45352</v>
      </c>
      <c r="B335" s="1">
        <v>2024</v>
      </c>
      <c r="C335" s="1">
        <v>3</v>
      </c>
      <c r="D335" s="1">
        <v>69.81</v>
      </c>
      <c r="E335" s="1" t="s">
        <v>5</v>
      </c>
    </row>
    <row r="336" spans="1:5" x14ac:dyDescent="0.25">
      <c r="A336" s="2">
        <v>45352</v>
      </c>
      <c r="B336" s="1">
        <v>2024</v>
      </c>
      <c r="C336" s="1">
        <v>3</v>
      </c>
      <c r="D336" s="1">
        <v>37.375</v>
      </c>
      <c r="E336" s="1" t="s">
        <v>134</v>
      </c>
    </row>
    <row r="337" spans="1:5" x14ac:dyDescent="0.25">
      <c r="A337" s="2">
        <v>45352</v>
      </c>
      <c r="B337" s="1">
        <v>2024</v>
      </c>
      <c r="C337" s="1">
        <v>3</v>
      </c>
      <c r="D337" s="1">
        <v>92.666666666666671</v>
      </c>
      <c r="E337" s="1" t="s">
        <v>133</v>
      </c>
    </row>
    <row r="338" spans="1:5" x14ac:dyDescent="0.25">
      <c r="A338" s="2">
        <v>45352</v>
      </c>
      <c r="B338" s="1">
        <v>2024</v>
      </c>
      <c r="C338" s="1">
        <v>3</v>
      </c>
      <c r="D338" s="1">
        <v>11.150451439950988</v>
      </c>
      <c r="E338" s="1" t="s">
        <v>131</v>
      </c>
    </row>
    <row r="339" spans="1:5" x14ac:dyDescent="0.25">
      <c r="A339" s="2">
        <v>45352</v>
      </c>
      <c r="B339" s="1">
        <v>2024</v>
      </c>
      <c r="C339" s="1">
        <v>3</v>
      </c>
      <c r="D339" s="1">
        <v>15872.8125</v>
      </c>
      <c r="E339" s="1" t="s">
        <v>8</v>
      </c>
    </row>
    <row r="340" spans="1:5" x14ac:dyDescent="0.25">
      <c r="A340" s="2">
        <v>45352</v>
      </c>
      <c r="B340" s="1">
        <v>2024</v>
      </c>
      <c r="C340" s="1">
        <v>3</v>
      </c>
      <c r="D340" s="1">
        <v>61.256</v>
      </c>
      <c r="E340" s="1" t="s">
        <v>11</v>
      </c>
    </row>
    <row r="341" spans="1:5" x14ac:dyDescent="0.25">
      <c r="A341" s="2">
        <v>45352</v>
      </c>
      <c r="B341" s="1">
        <v>2024</v>
      </c>
      <c r="C341" s="1">
        <v>3</v>
      </c>
      <c r="D341" s="1">
        <v>4677.1882857142882</v>
      </c>
      <c r="E341" s="1" t="s">
        <v>130</v>
      </c>
    </row>
    <row r="342" spans="1:5" x14ac:dyDescent="0.25">
      <c r="A342" s="2">
        <v>45352</v>
      </c>
      <c r="B342" s="1">
        <v>2024</v>
      </c>
      <c r="C342" s="1">
        <v>3</v>
      </c>
      <c r="D342" s="1">
        <v>99</v>
      </c>
      <c r="E342" s="1" t="s">
        <v>132</v>
      </c>
    </row>
    <row r="343" spans="1:5" x14ac:dyDescent="0.25">
      <c r="A343" s="2">
        <v>45352</v>
      </c>
      <c r="B343" s="1">
        <v>2024</v>
      </c>
      <c r="C343" s="1">
        <v>3</v>
      </c>
      <c r="D343" s="1">
        <v>312.5</v>
      </c>
      <c r="E343" s="1" t="s">
        <v>7</v>
      </c>
    </row>
    <row r="344" spans="1:5" x14ac:dyDescent="0.25">
      <c r="A344" s="2">
        <v>45357</v>
      </c>
      <c r="B344" s="1">
        <v>2024</v>
      </c>
      <c r="C344" s="1">
        <v>3</v>
      </c>
      <c r="D344" s="1">
        <v>117.4260355029586</v>
      </c>
      <c r="E344" s="1" t="s">
        <v>12</v>
      </c>
    </row>
    <row r="345" spans="1:5" x14ac:dyDescent="0.25">
      <c r="A345" s="2">
        <v>45359</v>
      </c>
      <c r="B345" s="1">
        <v>2024</v>
      </c>
      <c r="C345" s="1">
        <v>3</v>
      </c>
      <c r="D345" s="1">
        <v>70.424000000000007</v>
      </c>
      <c r="E345" s="1" t="s">
        <v>5</v>
      </c>
    </row>
    <row r="346" spans="1:5" x14ac:dyDescent="0.25">
      <c r="A346" s="2">
        <v>45359</v>
      </c>
      <c r="B346" s="1">
        <v>2024</v>
      </c>
      <c r="C346" s="1">
        <v>3</v>
      </c>
      <c r="D346" s="1">
        <v>37.25</v>
      </c>
      <c r="E346" s="1" t="s">
        <v>134</v>
      </c>
    </row>
    <row r="347" spans="1:5" x14ac:dyDescent="0.25">
      <c r="A347" s="2">
        <v>45359</v>
      </c>
      <c r="B347" s="1">
        <v>2024</v>
      </c>
      <c r="C347" s="1">
        <v>3</v>
      </c>
      <c r="D347" s="1">
        <v>317.14285714285711</v>
      </c>
      <c r="E347" s="1" t="s">
        <v>7</v>
      </c>
    </row>
    <row r="348" spans="1:5" x14ac:dyDescent="0.25">
      <c r="A348" s="2">
        <v>45359</v>
      </c>
      <c r="B348" s="1">
        <v>2024</v>
      </c>
      <c r="C348" s="1">
        <v>3</v>
      </c>
      <c r="D348" s="1">
        <v>11.244527071418853</v>
      </c>
      <c r="E348" s="1" t="s">
        <v>131</v>
      </c>
    </row>
    <row r="349" spans="1:5" x14ac:dyDescent="0.25">
      <c r="A349" s="2">
        <v>45359</v>
      </c>
      <c r="B349" s="1">
        <v>2024</v>
      </c>
      <c r="C349" s="1">
        <v>3</v>
      </c>
      <c r="D349" s="1">
        <v>95.666666666666657</v>
      </c>
      <c r="E349" s="1" t="s">
        <v>132</v>
      </c>
    </row>
    <row r="350" spans="1:5" x14ac:dyDescent="0.25">
      <c r="A350" s="2">
        <v>45359</v>
      </c>
      <c r="B350" s="1">
        <v>2024</v>
      </c>
      <c r="C350" s="1">
        <v>3</v>
      </c>
      <c r="D350" s="1">
        <v>3209.4759190476234</v>
      </c>
      <c r="E350" s="1" t="s">
        <v>130</v>
      </c>
    </row>
    <row r="351" spans="1:5" x14ac:dyDescent="0.25">
      <c r="A351" s="2">
        <v>45359</v>
      </c>
      <c r="B351" s="1">
        <v>2024</v>
      </c>
      <c r="C351" s="1">
        <v>3</v>
      </c>
      <c r="D351" s="1">
        <v>92.333333333333343</v>
      </c>
      <c r="E351" s="1" t="s">
        <v>133</v>
      </c>
    </row>
    <row r="352" spans="1:5" x14ac:dyDescent="0.25">
      <c r="A352" s="2">
        <v>45366</v>
      </c>
      <c r="B352" s="1">
        <v>2024</v>
      </c>
      <c r="C352" s="1">
        <v>3</v>
      </c>
      <c r="D352" s="1">
        <v>69.805999999999997</v>
      </c>
      <c r="E352" s="1" t="s">
        <v>5</v>
      </c>
    </row>
    <row r="353" spans="1:5" x14ac:dyDescent="0.25">
      <c r="A353" s="2">
        <v>45366</v>
      </c>
      <c r="B353" s="1">
        <v>2024</v>
      </c>
      <c r="C353" s="1">
        <v>3</v>
      </c>
      <c r="D353" s="1">
        <v>3938.7342857142885</v>
      </c>
      <c r="E353" s="1" t="s">
        <v>130</v>
      </c>
    </row>
    <row r="354" spans="1:5" x14ac:dyDescent="0.25">
      <c r="A354" s="2">
        <v>45366</v>
      </c>
      <c r="B354" s="1">
        <v>2024</v>
      </c>
      <c r="C354" s="1">
        <v>3</v>
      </c>
      <c r="D354" s="1">
        <v>91</v>
      </c>
      <c r="E354" s="1" t="s">
        <v>132</v>
      </c>
    </row>
    <row r="355" spans="1:5" x14ac:dyDescent="0.25">
      <c r="A355" s="2">
        <v>45366</v>
      </c>
      <c r="B355" s="1">
        <v>2024</v>
      </c>
      <c r="C355" s="1">
        <v>3</v>
      </c>
      <c r="D355" s="1">
        <v>11.540284517973864</v>
      </c>
      <c r="E355" s="1" t="s">
        <v>131</v>
      </c>
    </row>
    <row r="356" spans="1:5" x14ac:dyDescent="0.25">
      <c r="A356" s="2">
        <v>45366</v>
      </c>
      <c r="B356" s="1">
        <v>2024</v>
      </c>
      <c r="C356" s="1">
        <v>3</v>
      </c>
      <c r="D356" s="1">
        <v>313.92857142857139</v>
      </c>
      <c r="E356" s="1" t="s">
        <v>7</v>
      </c>
    </row>
    <row r="357" spans="1:5" x14ac:dyDescent="0.25">
      <c r="A357" s="2">
        <v>45366</v>
      </c>
      <c r="B357" s="1">
        <v>2024</v>
      </c>
      <c r="C357" s="1">
        <v>3</v>
      </c>
      <c r="D357" s="1">
        <v>37.916666666666671</v>
      </c>
      <c r="E357" s="1" t="s">
        <v>134</v>
      </c>
    </row>
    <row r="358" spans="1:5" x14ac:dyDescent="0.25">
      <c r="A358" s="2">
        <v>45366</v>
      </c>
      <c r="B358" s="1">
        <v>2024</v>
      </c>
      <c r="C358" s="1">
        <v>3</v>
      </c>
      <c r="D358" s="1">
        <v>91.333333333333329</v>
      </c>
      <c r="E358" s="1" t="s">
        <v>133</v>
      </c>
    </row>
    <row r="359" spans="1:5" x14ac:dyDescent="0.25">
      <c r="A359" s="2">
        <v>45373</v>
      </c>
      <c r="B359" s="1">
        <v>2024</v>
      </c>
      <c r="C359" s="1">
        <v>3</v>
      </c>
      <c r="D359" s="1">
        <v>71.334000000000003</v>
      </c>
      <c r="E359" s="1" t="s">
        <v>5</v>
      </c>
    </row>
    <row r="360" spans="1:5" x14ac:dyDescent="0.25">
      <c r="A360" s="2">
        <v>45373</v>
      </c>
      <c r="B360" s="1">
        <v>2024</v>
      </c>
      <c r="C360" s="1">
        <v>3</v>
      </c>
      <c r="D360" s="1">
        <v>39.583333333333329</v>
      </c>
      <c r="E360" s="1" t="s">
        <v>134</v>
      </c>
    </row>
    <row r="361" spans="1:5" x14ac:dyDescent="0.25">
      <c r="A361" s="2">
        <v>45373</v>
      </c>
      <c r="B361" s="1">
        <v>2024</v>
      </c>
      <c r="C361" s="1">
        <v>3</v>
      </c>
      <c r="D361" s="1">
        <v>95</v>
      </c>
      <c r="E361" s="1" t="s">
        <v>132</v>
      </c>
    </row>
    <row r="362" spans="1:5" x14ac:dyDescent="0.25">
      <c r="A362" s="2">
        <v>45373</v>
      </c>
      <c r="B362" s="1">
        <v>2024</v>
      </c>
      <c r="C362" s="1">
        <v>3</v>
      </c>
      <c r="D362" s="1">
        <v>4071.1537857142866</v>
      </c>
      <c r="E362" s="1" t="s">
        <v>130</v>
      </c>
    </row>
    <row r="363" spans="1:5" x14ac:dyDescent="0.25">
      <c r="A363" s="2">
        <v>45373</v>
      </c>
      <c r="B363" s="1">
        <v>2024</v>
      </c>
      <c r="C363" s="1">
        <v>3</v>
      </c>
      <c r="D363" s="1">
        <v>308.9473684210526</v>
      </c>
      <c r="E363" s="1" t="s">
        <v>7</v>
      </c>
    </row>
    <row r="364" spans="1:5" x14ac:dyDescent="0.25">
      <c r="A364" s="2">
        <v>45373</v>
      </c>
      <c r="B364" s="1">
        <v>2024</v>
      </c>
      <c r="C364" s="1">
        <v>3</v>
      </c>
      <c r="D364" s="1">
        <v>12.165625791462427</v>
      </c>
      <c r="E364" s="1" t="s">
        <v>131</v>
      </c>
    </row>
    <row r="365" spans="1:5" x14ac:dyDescent="0.25">
      <c r="A365" s="2">
        <v>45373</v>
      </c>
      <c r="B365" s="1">
        <v>2024</v>
      </c>
      <c r="C365" s="1">
        <v>3</v>
      </c>
      <c r="D365" s="1">
        <v>90.666666666666657</v>
      </c>
      <c r="E365" s="1" t="s">
        <v>133</v>
      </c>
    </row>
    <row r="366" spans="1:5" x14ac:dyDescent="0.25">
      <c r="A366" s="2">
        <v>45380</v>
      </c>
      <c r="B366" s="1">
        <v>2024</v>
      </c>
      <c r="C366" s="1">
        <v>3</v>
      </c>
      <c r="D366" s="1">
        <v>71.300000000000011</v>
      </c>
      <c r="E366" s="1" t="s">
        <v>5</v>
      </c>
    </row>
    <row r="367" spans="1:5" x14ac:dyDescent="0.25">
      <c r="A367" s="2">
        <v>45380</v>
      </c>
      <c r="B367" s="1">
        <v>2024</v>
      </c>
      <c r="C367" s="1">
        <v>3</v>
      </c>
      <c r="D367" s="1">
        <v>12.233023258782689</v>
      </c>
      <c r="E367" s="1" t="s">
        <v>131</v>
      </c>
    </row>
    <row r="368" spans="1:5" x14ac:dyDescent="0.25">
      <c r="A368" s="2">
        <v>45380</v>
      </c>
      <c r="B368" s="1">
        <v>2024</v>
      </c>
      <c r="C368" s="1">
        <v>3</v>
      </c>
      <c r="D368" s="1">
        <v>86.666666666666657</v>
      </c>
      <c r="E368" s="1" t="s">
        <v>132</v>
      </c>
    </row>
    <row r="369" spans="1:5" x14ac:dyDescent="0.25">
      <c r="A369" s="2">
        <v>45380</v>
      </c>
      <c r="B369" s="1">
        <v>2024</v>
      </c>
      <c r="C369" s="1">
        <v>3</v>
      </c>
      <c r="D369" s="1">
        <v>40.25</v>
      </c>
      <c r="E369" s="1" t="s">
        <v>134</v>
      </c>
    </row>
    <row r="370" spans="1:5" x14ac:dyDescent="0.25">
      <c r="A370" s="2">
        <v>45380</v>
      </c>
      <c r="B370" s="1">
        <v>2024</v>
      </c>
      <c r="C370" s="1">
        <v>3</v>
      </c>
      <c r="D370" s="1">
        <v>305</v>
      </c>
      <c r="E370" s="1" t="s">
        <v>7</v>
      </c>
    </row>
    <row r="371" spans="1:5" x14ac:dyDescent="0.25">
      <c r="A371" s="2">
        <v>45380</v>
      </c>
      <c r="B371" s="1">
        <v>2024</v>
      </c>
      <c r="C371" s="1">
        <v>3</v>
      </c>
      <c r="D371" s="1">
        <v>4080.3086857142862</v>
      </c>
      <c r="E371" s="1" t="s">
        <v>130</v>
      </c>
    </row>
    <row r="372" spans="1:5" x14ac:dyDescent="0.25">
      <c r="A372" s="2">
        <v>45380</v>
      </c>
      <c r="B372" s="1">
        <v>2024</v>
      </c>
      <c r="C372" s="1">
        <v>3</v>
      </c>
      <c r="D372" s="1">
        <v>87.666666666666657</v>
      </c>
      <c r="E372" s="1" t="s">
        <v>133</v>
      </c>
    </row>
    <row r="373" spans="1:5" x14ac:dyDescent="0.25">
      <c r="A373" s="2">
        <v>45383</v>
      </c>
      <c r="B373" s="1">
        <v>2024</v>
      </c>
      <c r="C373" s="1">
        <v>4</v>
      </c>
      <c r="D373" s="1">
        <v>401</v>
      </c>
      <c r="E373" s="1" t="s">
        <v>9</v>
      </c>
    </row>
    <row r="374" spans="1:5" x14ac:dyDescent="0.25">
      <c r="A374" s="2">
        <v>45383</v>
      </c>
      <c r="B374" s="1">
        <v>2024</v>
      </c>
      <c r="C374" s="1">
        <v>4</v>
      </c>
      <c r="D374" s="1">
        <v>122.53214932126697</v>
      </c>
      <c r="E374" s="1" t="s">
        <v>10</v>
      </c>
    </row>
    <row r="375" spans="1:5" x14ac:dyDescent="0.25">
      <c r="A375" s="2">
        <v>45383</v>
      </c>
      <c r="B375" s="1">
        <v>2024</v>
      </c>
      <c r="C375" s="1">
        <v>4</v>
      </c>
      <c r="D375" s="1">
        <v>16140</v>
      </c>
      <c r="E375" s="1" t="s">
        <v>8</v>
      </c>
    </row>
    <row r="376" spans="1:5" x14ac:dyDescent="0.25">
      <c r="A376" s="2">
        <v>45383</v>
      </c>
      <c r="B376" s="1">
        <v>2024</v>
      </c>
      <c r="C376" s="1">
        <v>4</v>
      </c>
      <c r="D376" s="1">
        <v>98.737142857142857</v>
      </c>
      <c r="E376" s="1" t="s">
        <v>11</v>
      </c>
    </row>
    <row r="377" spans="1:5" x14ac:dyDescent="0.25">
      <c r="A377" s="2">
        <v>45386</v>
      </c>
      <c r="B377" s="1">
        <v>2024</v>
      </c>
      <c r="C377" s="1">
        <v>4</v>
      </c>
      <c r="D377" s="1">
        <v>144.11441080282736</v>
      </c>
      <c r="E377" s="1" t="s">
        <v>12</v>
      </c>
    </row>
    <row r="378" spans="1:5" x14ac:dyDescent="0.25">
      <c r="A378" s="2">
        <v>45387</v>
      </c>
      <c r="B378" s="1">
        <v>2024</v>
      </c>
      <c r="C378" s="1">
        <v>4</v>
      </c>
      <c r="D378" s="1">
        <v>76.257499999999993</v>
      </c>
      <c r="E378" s="1" t="s">
        <v>5</v>
      </c>
    </row>
    <row r="379" spans="1:5" x14ac:dyDescent="0.25">
      <c r="A379" s="2">
        <v>45387</v>
      </c>
      <c r="B379" s="1">
        <v>2024</v>
      </c>
      <c r="C379" s="1">
        <v>4</v>
      </c>
      <c r="D379" s="1">
        <v>4475.1169732142844</v>
      </c>
      <c r="E379" s="1" t="s">
        <v>130</v>
      </c>
    </row>
    <row r="380" spans="1:5" x14ac:dyDescent="0.25">
      <c r="A380" s="2">
        <v>45387</v>
      </c>
      <c r="B380" s="1">
        <v>2024</v>
      </c>
      <c r="C380" s="1">
        <v>4</v>
      </c>
      <c r="D380" s="1">
        <v>79.666666666666657</v>
      </c>
      <c r="E380" s="1" t="s">
        <v>132</v>
      </c>
    </row>
    <row r="381" spans="1:5" x14ac:dyDescent="0.25">
      <c r="A381" s="2">
        <v>45387</v>
      </c>
      <c r="B381" s="1">
        <v>2024</v>
      </c>
      <c r="C381" s="1">
        <v>4</v>
      </c>
      <c r="D381" s="1">
        <v>12.041170241013079</v>
      </c>
      <c r="E381" s="1" t="s">
        <v>131</v>
      </c>
    </row>
    <row r="382" spans="1:5" x14ac:dyDescent="0.25">
      <c r="A382" s="2">
        <v>45387</v>
      </c>
      <c r="B382" s="1">
        <v>2024</v>
      </c>
      <c r="C382" s="1">
        <v>4</v>
      </c>
      <c r="D382" s="1">
        <v>290.38461538461542</v>
      </c>
      <c r="E382" s="1" t="s">
        <v>7</v>
      </c>
    </row>
    <row r="383" spans="1:5" x14ac:dyDescent="0.25">
      <c r="A383" s="2">
        <v>45387</v>
      </c>
      <c r="B383" s="1">
        <v>2024</v>
      </c>
      <c r="C383" s="1">
        <v>4</v>
      </c>
      <c r="D383" s="1">
        <v>39.833333333333329</v>
      </c>
      <c r="E383" s="1" t="s">
        <v>134</v>
      </c>
    </row>
    <row r="384" spans="1:5" x14ac:dyDescent="0.25">
      <c r="A384" s="2">
        <v>45387</v>
      </c>
      <c r="B384" s="1">
        <v>2024</v>
      </c>
      <c r="C384" s="1">
        <v>4</v>
      </c>
      <c r="D384" s="1">
        <v>81</v>
      </c>
      <c r="E384" s="1" t="s">
        <v>133</v>
      </c>
    </row>
    <row r="385" spans="1:5" x14ac:dyDescent="0.25">
      <c r="A385" s="2">
        <v>45394</v>
      </c>
      <c r="B385" s="1">
        <v>2024</v>
      </c>
      <c r="C385" s="1">
        <v>4</v>
      </c>
      <c r="D385" s="1">
        <v>77.305000000000007</v>
      </c>
      <c r="E385" s="1" t="s">
        <v>5</v>
      </c>
    </row>
    <row r="386" spans="1:5" x14ac:dyDescent="0.25">
      <c r="A386" s="2">
        <v>45394</v>
      </c>
      <c r="B386" s="1">
        <v>2024</v>
      </c>
      <c r="C386" s="1">
        <v>4</v>
      </c>
      <c r="D386" s="1">
        <v>38.625</v>
      </c>
      <c r="E386" s="1" t="s">
        <v>134</v>
      </c>
    </row>
    <row r="387" spans="1:5" x14ac:dyDescent="0.25">
      <c r="A387" s="2">
        <v>45394</v>
      </c>
      <c r="B387" s="1">
        <v>2024</v>
      </c>
      <c r="C387" s="1">
        <v>4</v>
      </c>
      <c r="D387" s="1">
        <v>77.333333333333329</v>
      </c>
      <c r="E387" s="1" t="s">
        <v>133</v>
      </c>
    </row>
    <row r="388" spans="1:5" x14ac:dyDescent="0.25">
      <c r="A388" s="2">
        <v>45394</v>
      </c>
      <c r="B388" s="1">
        <v>2024</v>
      </c>
      <c r="C388" s="1">
        <v>4</v>
      </c>
      <c r="D388" s="1">
        <v>5008.784235714289</v>
      </c>
      <c r="E388" s="1" t="s">
        <v>130</v>
      </c>
    </row>
    <row r="389" spans="1:5" x14ac:dyDescent="0.25">
      <c r="A389" s="2">
        <v>45394</v>
      </c>
      <c r="B389" s="1">
        <v>2024</v>
      </c>
      <c r="C389" s="1">
        <v>4</v>
      </c>
      <c r="D389" s="1">
        <v>281</v>
      </c>
      <c r="E389" s="1" t="s">
        <v>7</v>
      </c>
    </row>
    <row r="390" spans="1:5" x14ac:dyDescent="0.25">
      <c r="A390" s="2">
        <v>45394</v>
      </c>
      <c r="B390" s="1">
        <v>2024</v>
      </c>
      <c r="C390" s="1">
        <v>4</v>
      </c>
      <c r="D390" s="1">
        <v>12.143670555895978</v>
      </c>
      <c r="E390" s="1" t="s">
        <v>131</v>
      </c>
    </row>
    <row r="391" spans="1:5" x14ac:dyDescent="0.25">
      <c r="A391" s="2">
        <v>45394</v>
      </c>
      <c r="B391" s="1">
        <v>2024</v>
      </c>
      <c r="C391" s="1">
        <v>4</v>
      </c>
      <c r="D391" s="1">
        <v>75.333333333333329</v>
      </c>
      <c r="E391" s="1" t="s">
        <v>132</v>
      </c>
    </row>
    <row r="392" spans="1:5" x14ac:dyDescent="0.25">
      <c r="A392" s="2">
        <v>45401</v>
      </c>
      <c r="B392" s="1">
        <v>2024</v>
      </c>
      <c r="C392" s="1">
        <v>4</v>
      </c>
      <c r="D392" s="1">
        <v>74.745000000000005</v>
      </c>
      <c r="E392" s="1" t="s">
        <v>5</v>
      </c>
    </row>
    <row r="393" spans="1:5" x14ac:dyDescent="0.25">
      <c r="A393" s="2">
        <v>45401</v>
      </c>
      <c r="B393" s="1">
        <v>2024</v>
      </c>
      <c r="C393" s="1">
        <v>4</v>
      </c>
      <c r="D393" s="1">
        <v>13.148250229779421</v>
      </c>
      <c r="E393" s="1" t="s">
        <v>131</v>
      </c>
    </row>
    <row r="394" spans="1:5" x14ac:dyDescent="0.25">
      <c r="A394" s="2">
        <v>45401</v>
      </c>
      <c r="B394" s="1">
        <v>2024</v>
      </c>
      <c r="C394" s="1">
        <v>4</v>
      </c>
      <c r="D394" s="1">
        <v>31.666666666666668</v>
      </c>
      <c r="E394" s="1" t="s">
        <v>133</v>
      </c>
    </row>
    <row r="395" spans="1:5" x14ac:dyDescent="0.25">
      <c r="A395" s="2">
        <v>45401</v>
      </c>
      <c r="B395" s="1">
        <v>2024</v>
      </c>
      <c r="C395" s="1">
        <v>4</v>
      </c>
      <c r="D395" s="1">
        <v>38.166666666666664</v>
      </c>
      <c r="E395" s="1" t="s">
        <v>134</v>
      </c>
    </row>
    <row r="396" spans="1:5" x14ac:dyDescent="0.25">
      <c r="A396" s="2">
        <v>45401</v>
      </c>
      <c r="B396" s="1">
        <v>2024</v>
      </c>
      <c r="C396" s="1">
        <v>4</v>
      </c>
      <c r="D396" s="1">
        <v>250</v>
      </c>
      <c r="E396" s="1" t="s">
        <v>7</v>
      </c>
    </row>
    <row r="397" spans="1:5" x14ac:dyDescent="0.25">
      <c r="A397" s="2">
        <v>45401</v>
      </c>
      <c r="B397" s="1">
        <v>2024</v>
      </c>
      <c r="C397" s="1">
        <v>4</v>
      </c>
      <c r="D397" s="1">
        <v>4795.4532857142894</v>
      </c>
      <c r="E397" s="1" t="s">
        <v>130</v>
      </c>
    </row>
    <row r="398" spans="1:5" x14ac:dyDescent="0.25">
      <c r="A398" s="2">
        <v>45401</v>
      </c>
      <c r="B398" s="1">
        <v>2024</v>
      </c>
      <c r="C398" s="1">
        <v>4</v>
      </c>
      <c r="D398" s="1">
        <v>57.5</v>
      </c>
      <c r="E398" s="1" t="s">
        <v>132</v>
      </c>
    </row>
    <row r="399" spans="1:5" x14ac:dyDescent="0.25">
      <c r="A399" s="2">
        <v>45408</v>
      </c>
      <c r="B399" s="1">
        <v>2024</v>
      </c>
      <c r="C399" s="1">
        <v>4</v>
      </c>
      <c r="D399" s="1">
        <v>74.170000000000016</v>
      </c>
      <c r="E399" s="1" t="s">
        <v>5</v>
      </c>
    </row>
    <row r="400" spans="1:5" x14ac:dyDescent="0.25">
      <c r="A400" s="2">
        <v>45408</v>
      </c>
      <c r="B400" s="1">
        <v>2024</v>
      </c>
      <c r="C400" s="1">
        <v>4</v>
      </c>
      <c r="D400" s="1">
        <v>4630.0334857142861</v>
      </c>
      <c r="E400" s="1" t="s">
        <v>130</v>
      </c>
    </row>
    <row r="401" spans="1:5" x14ac:dyDescent="0.25">
      <c r="A401" s="2">
        <v>45408</v>
      </c>
      <c r="B401" s="1">
        <v>2024</v>
      </c>
      <c r="C401" s="1">
        <v>4</v>
      </c>
      <c r="D401" s="1">
        <v>31.666666666666668</v>
      </c>
      <c r="E401" s="1" t="s">
        <v>133</v>
      </c>
    </row>
    <row r="402" spans="1:5" x14ac:dyDescent="0.25">
      <c r="A402" s="2">
        <v>45408</v>
      </c>
      <c r="B402" s="1">
        <v>2024</v>
      </c>
      <c r="C402" s="1">
        <v>4</v>
      </c>
      <c r="D402" s="1">
        <v>12.634564020450016</v>
      </c>
      <c r="E402" s="1" t="s">
        <v>131</v>
      </c>
    </row>
    <row r="403" spans="1:5" x14ac:dyDescent="0.25">
      <c r="A403" s="2">
        <v>45408</v>
      </c>
      <c r="B403" s="1">
        <v>2024</v>
      </c>
      <c r="C403" s="1">
        <v>4</v>
      </c>
      <c r="D403" s="1">
        <v>247.5</v>
      </c>
      <c r="E403" s="1" t="s">
        <v>7</v>
      </c>
    </row>
    <row r="404" spans="1:5" x14ac:dyDescent="0.25">
      <c r="A404" s="2">
        <v>45408</v>
      </c>
      <c r="B404" s="1">
        <v>2024</v>
      </c>
      <c r="C404" s="1">
        <v>4</v>
      </c>
      <c r="D404" s="1">
        <v>35.583333333333329</v>
      </c>
      <c r="E404" s="1" t="s">
        <v>134</v>
      </c>
    </row>
    <row r="405" spans="1:5" x14ac:dyDescent="0.25">
      <c r="A405" s="2">
        <v>45408</v>
      </c>
      <c r="B405" s="1">
        <v>2024</v>
      </c>
      <c r="C405" s="1">
        <v>4</v>
      </c>
      <c r="D405" s="1">
        <v>57.5</v>
      </c>
      <c r="E405" s="1" t="s">
        <v>132</v>
      </c>
    </row>
    <row r="406" spans="1:5" x14ac:dyDescent="0.25">
      <c r="A406" s="2">
        <v>45413</v>
      </c>
      <c r="B406" s="1">
        <v>2024</v>
      </c>
      <c r="C406" s="1">
        <v>5</v>
      </c>
      <c r="D406" s="1">
        <v>15690</v>
      </c>
      <c r="E406" s="1" t="s">
        <v>8</v>
      </c>
    </row>
    <row r="407" spans="1:5" x14ac:dyDescent="0.25">
      <c r="A407" s="2">
        <v>45413</v>
      </c>
      <c r="B407" s="1">
        <v>2024</v>
      </c>
      <c r="C407" s="1">
        <v>5</v>
      </c>
      <c r="D407" s="1">
        <v>85.5</v>
      </c>
      <c r="E407" s="1" t="s">
        <v>11</v>
      </c>
    </row>
    <row r="408" spans="1:5" x14ac:dyDescent="0.25">
      <c r="A408" s="2">
        <v>45413</v>
      </c>
      <c r="B408" s="1">
        <v>2024</v>
      </c>
      <c r="C408" s="1">
        <v>5</v>
      </c>
      <c r="D408" s="1">
        <v>121.69244343891403</v>
      </c>
      <c r="E408" s="1" t="s">
        <v>10</v>
      </c>
    </row>
    <row r="409" spans="1:5" x14ac:dyDescent="0.25">
      <c r="A409" s="2">
        <v>45413</v>
      </c>
      <c r="B409" s="1">
        <v>2024</v>
      </c>
      <c r="C409" s="1">
        <v>5</v>
      </c>
      <c r="D409" s="1">
        <v>416</v>
      </c>
      <c r="E409" s="1" t="s">
        <v>9</v>
      </c>
    </row>
    <row r="410" spans="1:5" x14ac:dyDescent="0.25">
      <c r="A410" s="2">
        <v>45415</v>
      </c>
      <c r="B410" s="1">
        <v>2024</v>
      </c>
      <c r="C410" s="1">
        <v>5</v>
      </c>
      <c r="D410" s="1">
        <v>71.31</v>
      </c>
      <c r="E410" s="1" t="s">
        <v>5</v>
      </c>
    </row>
    <row r="411" spans="1:5" x14ac:dyDescent="0.25">
      <c r="A411" s="2">
        <v>45415</v>
      </c>
      <c r="B411" s="1">
        <v>2024</v>
      </c>
      <c r="C411" s="1">
        <v>5</v>
      </c>
      <c r="D411" s="1">
        <v>31.433333333333334</v>
      </c>
      <c r="E411" s="1" t="s">
        <v>134</v>
      </c>
    </row>
    <row r="412" spans="1:5" x14ac:dyDescent="0.25">
      <c r="A412" s="2">
        <v>45415</v>
      </c>
      <c r="B412" s="1">
        <v>2024</v>
      </c>
      <c r="C412" s="1">
        <v>5</v>
      </c>
      <c r="D412" s="1">
        <v>57.5</v>
      </c>
      <c r="E412" s="1" t="s">
        <v>132</v>
      </c>
    </row>
    <row r="413" spans="1:5" x14ac:dyDescent="0.25">
      <c r="A413" s="2">
        <v>45415</v>
      </c>
      <c r="B413" s="1">
        <v>2024</v>
      </c>
      <c r="C413" s="1">
        <v>5</v>
      </c>
      <c r="D413" s="1">
        <v>5143.5930857142866</v>
      </c>
      <c r="E413" s="1" t="s">
        <v>130</v>
      </c>
    </row>
    <row r="414" spans="1:5" x14ac:dyDescent="0.25">
      <c r="A414" s="2">
        <v>45415</v>
      </c>
      <c r="B414" s="1">
        <v>2024</v>
      </c>
      <c r="C414" s="1">
        <v>5</v>
      </c>
      <c r="D414" s="1">
        <v>12.120877811120609</v>
      </c>
      <c r="E414" s="1" t="s">
        <v>131</v>
      </c>
    </row>
    <row r="415" spans="1:5" x14ac:dyDescent="0.25">
      <c r="A415" s="2">
        <v>45415</v>
      </c>
      <c r="B415" s="1">
        <v>2024</v>
      </c>
      <c r="C415" s="1">
        <v>5</v>
      </c>
      <c r="D415" s="1">
        <v>31.666666666666668</v>
      </c>
      <c r="E415" s="1" t="s">
        <v>133</v>
      </c>
    </row>
    <row r="416" spans="1:5" x14ac:dyDescent="0.25">
      <c r="A416" s="2">
        <v>45419</v>
      </c>
      <c r="B416" s="1">
        <v>2024</v>
      </c>
      <c r="C416" s="1">
        <v>5</v>
      </c>
      <c r="D416" s="1">
        <v>24.463908822287863</v>
      </c>
      <c r="E416" s="1" t="s">
        <v>12</v>
      </c>
    </row>
    <row r="417" spans="1:5" x14ac:dyDescent="0.25">
      <c r="A417" s="2">
        <v>45422</v>
      </c>
      <c r="B417" s="1">
        <v>2024</v>
      </c>
      <c r="C417" s="1">
        <v>5</v>
      </c>
      <c r="D417" s="1">
        <v>68.905000000000001</v>
      </c>
      <c r="E417" s="1" t="s">
        <v>5</v>
      </c>
    </row>
    <row r="418" spans="1:5" x14ac:dyDescent="0.25">
      <c r="A418" s="2">
        <v>45422</v>
      </c>
      <c r="B418" s="1">
        <v>2024</v>
      </c>
      <c r="C418" s="1">
        <v>5</v>
      </c>
      <c r="D418" s="1">
        <v>11.488204656862754</v>
      </c>
      <c r="E418" s="1" t="s">
        <v>131</v>
      </c>
    </row>
    <row r="419" spans="1:5" x14ac:dyDescent="0.25">
      <c r="A419" s="2">
        <v>45422</v>
      </c>
      <c r="B419" s="1">
        <v>2024</v>
      </c>
      <c r="C419" s="1">
        <v>5</v>
      </c>
      <c r="D419" s="1">
        <v>27.916666666666664</v>
      </c>
      <c r="E419" s="1" t="s">
        <v>133</v>
      </c>
    </row>
    <row r="420" spans="1:5" x14ac:dyDescent="0.25">
      <c r="A420" s="2">
        <v>45422</v>
      </c>
      <c r="B420" s="1">
        <v>2024</v>
      </c>
      <c r="C420" s="1">
        <v>5</v>
      </c>
      <c r="D420" s="1">
        <v>260</v>
      </c>
      <c r="E420" s="1" t="s">
        <v>7</v>
      </c>
    </row>
    <row r="421" spans="1:5" x14ac:dyDescent="0.25">
      <c r="A421" s="2">
        <v>45422</v>
      </c>
      <c r="B421" s="1">
        <v>2024</v>
      </c>
      <c r="C421" s="1">
        <v>5</v>
      </c>
      <c r="D421" s="1">
        <v>5646.7222857142824</v>
      </c>
      <c r="E421" s="1" t="s">
        <v>130</v>
      </c>
    </row>
    <row r="422" spans="1:5" x14ac:dyDescent="0.25">
      <c r="A422" s="2">
        <v>45422</v>
      </c>
      <c r="B422" s="1">
        <v>2024</v>
      </c>
      <c r="C422" s="1">
        <v>5</v>
      </c>
      <c r="D422" s="1">
        <v>71.944444444444443</v>
      </c>
      <c r="E422" s="1" t="s">
        <v>132</v>
      </c>
    </row>
    <row r="423" spans="1:5" x14ac:dyDescent="0.25">
      <c r="A423" s="2">
        <v>45425</v>
      </c>
      <c r="B423" s="1">
        <v>2024</v>
      </c>
      <c r="C423" s="1">
        <v>5</v>
      </c>
      <c r="D423" s="1">
        <v>30.566666666666666</v>
      </c>
      <c r="E423" s="1" t="s">
        <v>134</v>
      </c>
    </row>
    <row r="424" spans="1:5" x14ac:dyDescent="0.25">
      <c r="A424" s="2">
        <v>45429</v>
      </c>
      <c r="B424" s="1">
        <v>2024</v>
      </c>
      <c r="C424" s="1">
        <v>5</v>
      </c>
      <c r="D424" s="1">
        <v>67.664999999999992</v>
      </c>
      <c r="E424" s="1" t="s">
        <v>5</v>
      </c>
    </row>
    <row r="425" spans="1:5" x14ac:dyDescent="0.25">
      <c r="A425" s="2">
        <v>45429</v>
      </c>
      <c r="B425" s="1">
        <v>2024</v>
      </c>
      <c r="C425" s="1">
        <v>5</v>
      </c>
      <c r="D425" s="1">
        <v>69.898989898989896</v>
      </c>
      <c r="E425" s="1" t="s">
        <v>132</v>
      </c>
    </row>
    <row r="426" spans="1:5" x14ac:dyDescent="0.25">
      <c r="A426" s="2">
        <v>45429</v>
      </c>
      <c r="B426" s="1">
        <v>2024</v>
      </c>
      <c r="C426" s="1">
        <v>5</v>
      </c>
      <c r="D426" s="1">
        <v>30.166666666666664</v>
      </c>
      <c r="E426" s="1" t="s">
        <v>134</v>
      </c>
    </row>
    <row r="427" spans="1:5" x14ac:dyDescent="0.25">
      <c r="A427" s="2">
        <v>45429</v>
      </c>
      <c r="B427" s="1">
        <v>2024</v>
      </c>
      <c r="C427" s="1">
        <v>5</v>
      </c>
      <c r="D427" s="1">
        <v>254.5</v>
      </c>
      <c r="E427" s="1" t="s">
        <v>7</v>
      </c>
    </row>
    <row r="428" spans="1:5" x14ac:dyDescent="0.25">
      <c r="A428" s="2">
        <v>45429</v>
      </c>
      <c r="B428" s="1">
        <v>2024</v>
      </c>
      <c r="C428" s="1">
        <v>5</v>
      </c>
      <c r="D428" s="1">
        <v>6979.1670857142872</v>
      </c>
      <c r="E428" s="1" t="s">
        <v>130</v>
      </c>
    </row>
    <row r="429" spans="1:5" x14ac:dyDescent="0.25">
      <c r="A429" s="2">
        <v>45429</v>
      </c>
      <c r="B429" s="1">
        <v>2024</v>
      </c>
      <c r="C429" s="1">
        <v>5</v>
      </c>
      <c r="D429" s="1">
        <v>23.333333333333329</v>
      </c>
      <c r="E429" s="1" t="s">
        <v>133</v>
      </c>
    </row>
    <row r="430" spans="1:5" x14ac:dyDescent="0.25">
      <c r="A430" s="2">
        <v>45429</v>
      </c>
      <c r="B430" s="1">
        <v>2024</v>
      </c>
      <c r="C430" s="1">
        <v>5</v>
      </c>
      <c r="D430" s="1">
        <v>10.972671472886036</v>
      </c>
      <c r="E430" s="1" t="s">
        <v>131</v>
      </c>
    </row>
    <row r="431" spans="1:5" x14ac:dyDescent="0.25">
      <c r="A431" s="2">
        <v>45436</v>
      </c>
      <c r="B431" s="1">
        <v>2024</v>
      </c>
      <c r="C431" s="1">
        <v>5</v>
      </c>
      <c r="D431" s="1">
        <v>67.662499999999994</v>
      </c>
      <c r="E431" s="1" t="s">
        <v>5</v>
      </c>
    </row>
    <row r="432" spans="1:5" x14ac:dyDescent="0.25">
      <c r="A432" s="2">
        <v>45436</v>
      </c>
      <c r="B432" s="1">
        <v>2024</v>
      </c>
      <c r="C432" s="1">
        <v>5</v>
      </c>
      <c r="D432" s="1">
        <v>56.666666666666671</v>
      </c>
      <c r="E432" s="1" t="s">
        <v>132</v>
      </c>
    </row>
    <row r="433" spans="1:5" x14ac:dyDescent="0.25">
      <c r="A433" s="2">
        <v>45436</v>
      </c>
      <c r="B433" s="1">
        <v>2024</v>
      </c>
      <c r="C433" s="1">
        <v>5</v>
      </c>
      <c r="D433" s="1">
        <v>10.856353400735301</v>
      </c>
      <c r="E433" s="1" t="s">
        <v>131</v>
      </c>
    </row>
    <row r="434" spans="1:5" x14ac:dyDescent="0.25">
      <c r="A434" s="2">
        <v>45436</v>
      </c>
      <c r="B434" s="1">
        <v>2024</v>
      </c>
      <c r="C434" s="1">
        <v>5</v>
      </c>
      <c r="D434" s="1">
        <v>29.933333333333334</v>
      </c>
      <c r="E434" s="1" t="s">
        <v>134</v>
      </c>
    </row>
    <row r="435" spans="1:5" x14ac:dyDescent="0.25">
      <c r="A435" s="2">
        <v>45436</v>
      </c>
      <c r="B435" s="1">
        <v>2024</v>
      </c>
      <c r="C435" s="1">
        <v>5</v>
      </c>
      <c r="D435" s="1">
        <v>7615.701285714289</v>
      </c>
      <c r="E435" s="1" t="s">
        <v>130</v>
      </c>
    </row>
    <row r="436" spans="1:5" x14ac:dyDescent="0.25">
      <c r="A436" s="2">
        <v>45436</v>
      </c>
      <c r="B436" s="1">
        <v>2024</v>
      </c>
      <c r="C436" s="1">
        <v>5</v>
      </c>
      <c r="D436" s="1">
        <v>25</v>
      </c>
      <c r="E436" s="1" t="s">
        <v>133</v>
      </c>
    </row>
    <row r="437" spans="1:5" x14ac:dyDescent="0.25">
      <c r="A437" s="2">
        <v>45436</v>
      </c>
      <c r="B437" s="1">
        <v>2024</v>
      </c>
      <c r="C437" s="1">
        <v>5</v>
      </c>
      <c r="D437" s="1">
        <v>260</v>
      </c>
      <c r="E437" s="1" t="s">
        <v>7</v>
      </c>
    </row>
    <row r="438" spans="1:5" x14ac:dyDescent="0.25">
      <c r="A438" s="2">
        <v>45443</v>
      </c>
      <c r="B438" s="1">
        <v>2024</v>
      </c>
      <c r="C438" s="1">
        <v>5</v>
      </c>
      <c r="D438" s="1">
        <v>68.302499999999995</v>
      </c>
      <c r="E438" s="1" t="s">
        <v>5</v>
      </c>
    </row>
    <row r="439" spans="1:5" x14ac:dyDescent="0.25">
      <c r="A439" s="2">
        <v>45443</v>
      </c>
      <c r="B439" s="1">
        <v>2024</v>
      </c>
      <c r="C439" s="1">
        <v>5</v>
      </c>
      <c r="D439" s="1">
        <v>25</v>
      </c>
      <c r="E439" s="1" t="s">
        <v>133</v>
      </c>
    </row>
    <row r="440" spans="1:5" x14ac:dyDescent="0.25">
      <c r="A440" s="2">
        <v>45443</v>
      </c>
      <c r="B440" s="1">
        <v>2024</v>
      </c>
      <c r="C440" s="1">
        <v>5</v>
      </c>
      <c r="D440" s="1">
        <v>273</v>
      </c>
      <c r="E440" s="1" t="s">
        <v>7</v>
      </c>
    </row>
    <row r="441" spans="1:5" x14ac:dyDescent="0.25">
      <c r="A441" s="2">
        <v>45443</v>
      </c>
      <c r="B441" s="1">
        <v>2024</v>
      </c>
      <c r="C441" s="1">
        <v>5</v>
      </c>
      <c r="D441" s="1">
        <v>10.161955252587152</v>
      </c>
      <c r="E441" s="1" t="s">
        <v>131</v>
      </c>
    </row>
    <row r="442" spans="1:5" x14ac:dyDescent="0.25">
      <c r="A442" s="2">
        <v>45443</v>
      </c>
      <c r="B442" s="1">
        <v>2024</v>
      </c>
      <c r="C442" s="1">
        <v>5</v>
      </c>
      <c r="D442" s="1">
        <v>8475.8307857142881</v>
      </c>
      <c r="E442" s="1" t="s">
        <v>130</v>
      </c>
    </row>
    <row r="443" spans="1:5" x14ac:dyDescent="0.25">
      <c r="A443" s="2">
        <v>45443</v>
      </c>
      <c r="B443" s="1">
        <v>2024</v>
      </c>
      <c r="C443" s="1">
        <v>5</v>
      </c>
      <c r="D443" s="1">
        <v>63.888888888888893</v>
      </c>
      <c r="E443" s="1" t="s">
        <v>132</v>
      </c>
    </row>
    <row r="444" spans="1:5" x14ac:dyDescent="0.25">
      <c r="A444" s="2">
        <v>45443</v>
      </c>
      <c r="B444" s="1">
        <v>2024</v>
      </c>
      <c r="C444" s="1">
        <v>5</v>
      </c>
      <c r="D444" s="1">
        <v>29.25</v>
      </c>
      <c r="E444" s="1" t="s">
        <v>134</v>
      </c>
    </row>
    <row r="445" spans="1:5" x14ac:dyDescent="0.25">
      <c r="A445" s="2">
        <v>45444</v>
      </c>
      <c r="B445" s="1">
        <v>2024</v>
      </c>
      <c r="C445" s="1">
        <v>6</v>
      </c>
      <c r="D445" s="1">
        <v>120.66884803921567</v>
      </c>
      <c r="E445" s="1" t="s">
        <v>10</v>
      </c>
    </row>
    <row r="446" spans="1:5" x14ac:dyDescent="0.25">
      <c r="A446" s="2">
        <v>45444</v>
      </c>
      <c r="B446" s="1">
        <v>2024</v>
      </c>
      <c r="C446" s="1">
        <v>6</v>
      </c>
      <c r="D446" s="1">
        <v>412</v>
      </c>
      <c r="E446" s="1" t="s">
        <v>9</v>
      </c>
    </row>
    <row r="447" spans="1:5" x14ac:dyDescent="0.25">
      <c r="A447" s="2">
        <v>45444</v>
      </c>
      <c r="B447" s="1">
        <v>2024</v>
      </c>
      <c r="C447" s="1">
        <v>6</v>
      </c>
      <c r="D447" s="1">
        <v>69.613333333333344</v>
      </c>
      <c r="E447" s="1" t="s">
        <v>11</v>
      </c>
    </row>
    <row r="448" spans="1:5" x14ac:dyDescent="0.25">
      <c r="A448" s="2">
        <v>45444</v>
      </c>
      <c r="B448" s="1">
        <v>2024</v>
      </c>
      <c r="C448" s="1">
        <v>6</v>
      </c>
      <c r="D448" s="1">
        <v>15670</v>
      </c>
      <c r="E448" s="1" t="s">
        <v>8</v>
      </c>
    </row>
    <row r="449" spans="1:5" x14ac:dyDescent="0.25">
      <c r="A449" s="2">
        <v>45448</v>
      </c>
      <c r="B449" s="1">
        <v>2024</v>
      </c>
      <c r="C449" s="1">
        <v>6</v>
      </c>
      <c r="D449" s="1">
        <v>-68.723404255319224</v>
      </c>
      <c r="E449" s="1" t="s">
        <v>12</v>
      </c>
    </row>
    <row r="450" spans="1:5" x14ac:dyDescent="0.25">
      <c r="A450" s="2">
        <v>45450</v>
      </c>
      <c r="B450" s="1">
        <v>2024</v>
      </c>
      <c r="C450" s="1">
        <v>6</v>
      </c>
      <c r="D450" s="1">
        <v>65.085000000000008</v>
      </c>
      <c r="E450" s="1" t="s">
        <v>5</v>
      </c>
    </row>
    <row r="451" spans="1:5" x14ac:dyDescent="0.25">
      <c r="A451" s="2">
        <v>45450</v>
      </c>
      <c r="B451" s="1">
        <v>2024</v>
      </c>
      <c r="C451" s="1">
        <v>6</v>
      </c>
      <c r="D451" s="1">
        <v>24.007936507936503</v>
      </c>
      <c r="E451" s="1" t="s">
        <v>133</v>
      </c>
    </row>
    <row r="452" spans="1:5" x14ac:dyDescent="0.25">
      <c r="A452" s="2">
        <v>45450</v>
      </c>
      <c r="B452" s="1">
        <v>2024</v>
      </c>
      <c r="C452" s="1">
        <v>6</v>
      </c>
      <c r="D452" s="1">
        <v>27.433333333333334</v>
      </c>
      <c r="E452" s="1" t="s">
        <v>134</v>
      </c>
    </row>
    <row r="453" spans="1:5" x14ac:dyDescent="0.25">
      <c r="A453" s="2">
        <v>45450</v>
      </c>
      <c r="B453" s="1">
        <v>2024</v>
      </c>
      <c r="C453" s="1">
        <v>6</v>
      </c>
      <c r="D453" s="1">
        <v>295</v>
      </c>
      <c r="E453" s="1" t="s">
        <v>7</v>
      </c>
    </row>
    <row r="454" spans="1:5" x14ac:dyDescent="0.25">
      <c r="A454" s="2">
        <v>45450</v>
      </c>
      <c r="B454" s="1">
        <v>2024</v>
      </c>
      <c r="C454" s="1">
        <v>6</v>
      </c>
      <c r="D454" s="1">
        <v>7960.7142857142844</v>
      </c>
      <c r="E454" s="1" t="s">
        <v>130</v>
      </c>
    </row>
    <row r="455" spans="1:5" x14ac:dyDescent="0.25">
      <c r="A455" s="2">
        <v>45450</v>
      </c>
      <c r="B455" s="1">
        <v>2024</v>
      </c>
      <c r="C455" s="1">
        <v>6</v>
      </c>
      <c r="D455" s="1">
        <v>60.661375661375658</v>
      </c>
      <c r="E455" s="1" t="s">
        <v>132</v>
      </c>
    </row>
    <row r="456" spans="1:5" x14ac:dyDescent="0.25">
      <c r="A456" s="2">
        <v>45450</v>
      </c>
      <c r="B456" s="1">
        <v>2024</v>
      </c>
      <c r="C456" s="1">
        <v>6</v>
      </c>
      <c r="D456" s="1">
        <v>9.1331227022058883</v>
      </c>
      <c r="E456" s="1" t="s">
        <v>131</v>
      </c>
    </row>
    <row r="457" spans="1:5" x14ac:dyDescent="0.25">
      <c r="A457" s="2">
        <v>45455</v>
      </c>
      <c r="B457" s="1">
        <v>2024</v>
      </c>
      <c r="C457" s="1">
        <v>6</v>
      </c>
      <c r="D457" s="1">
        <v>14</v>
      </c>
      <c r="E457" s="1" t="s">
        <v>134</v>
      </c>
    </row>
    <row r="458" spans="1:5" x14ac:dyDescent="0.25">
      <c r="A458" s="2">
        <v>45457</v>
      </c>
      <c r="B458" s="1">
        <v>2024</v>
      </c>
      <c r="C458" s="1">
        <v>6</v>
      </c>
      <c r="D458" s="1">
        <v>69.044999999999987</v>
      </c>
      <c r="E458" s="1" t="s">
        <v>5</v>
      </c>
    </row>
    <row r="459" spans="1:5" x14ac:dyDescent="0.25">
      <c r="A459" s="2">
        <v>45457</v>
      </c>
      <c r="B459" s="1">
        <v>2024</v>
      </c>
      <c r="C459" s="1">
        <v>6</v>
      </c>
      <c r="D459" s="1">
        <v>8.2370427389705938</v>
      </c>
      <c r="E459" s="1" t="s">
        <v>131</v>
      </c>
    </row>
    <row r="460" spans="1:5" x14ac:dyDescent="0.25">
      <c r="A460" s="2">
        <v>45457</v>
      </c>
      <c r="B460" s="1">
        <v>2024</v>
      </c>
      <c r="C460" s="1">
        <v>6</v>
      </c>
      <c r="D460" s="1">
        <v>26.333333333333332</v>
      </c>
      <c r="E460" s="1" t="s">
        <v>134</v>
      </c>
    </row>
    <row r="461" spans="1:5" x14ac:dyDescent="0.25">
      <c r="A461" s="2">
        <v>45457</v>
      </c>
      <c r="B461" s="1">
        <v>2024</v>
      </c>
      <c r="C461" s="1">
        <v>6</v>
      </c>
      <c r="D461" s="1">
        <v>7682.8852857142865</v>
      </c>
      <c r="E461" s="1" t="s">
        <v>130</v>
      </c>
    </row>
    <row r="462" spans="1:5" x14ac:dyDescent="0.25">
      <c r="A462" s="2">
        <v>45457</v>
      </c>
      <c r="B462" s="1">
        <v>2024</v>
      </c>
      <c r="C462" s="1">
        <v>6</v>
      </c>
      <c r="D462" s="1">
        <v>56.25</v>
      </c>
      <c r="E462" s="1" t="s">
        <v>133</v>
      </c>
    </row>
    <row r="463" spans="1:5" x14ac:dyDescent="0.25">
      <c r="A463" s="2">
        <v>45457</v>
      </c>
      <c r="B463" s="1">
        <v>2024</v>
      </c>
      <c r="C463" s="1">
        <v>6</v>
      </c>
      <c r="D463" s="1">
        <v>312.5</v>
      </c>
      <c r="E463" s="1" t="s">
        <v>7</v>
      </c>
    </row>
    <row r="464" spans="1:5" x14ac:dyDescent="0.25">
      <c r="A464" s="2">
        <v>45457</v>
      </c>
      <c r="B464" s="1">
        <v>2024</v>
      </c>
      <c r="C464" s="1">
        <v>6</v>
      </c>
      <c r="D464" s="1">
        <v>58.75</v>
      </c>
      <c r="E464" s="1" t="s">
        <v>132</v>
      </c>
    </row>
    <row r="465" spans="1:5" x14ac:dyDescent="0.25">
      <c r="A465" s="2">
        <v>45462</v>
      </c>
      <c r="B465" s="1">
        <v>2024</v>
      </c>
      <c r="C465" s="1">
        <v>6</v>
      </c>
      <c r="D465" s="1">
        <v>14</v>
      </c>
      <c r="E465" s="1" t="s">
        <v>134</v>
      </c>
    </row>
    <row r="466" spans="1:5" x14ac:dyDescent="0.25">
      <c r="A466" s="2">
        <v>45464</v>
      </c>
      <c r="B466" s="1">
        <v>2024</v>
      </c>
      <c r="C466" s="1">
        <v>6</v>
      </c>
      <c r="D466" s="1">
        <v>74.055000000000007</v>
      </c>
      <c r="E466" s="1" t="s">
        <v>5</v>
      </c>
    </row>
    <row r="467" spans="1:5" x14ac:dyDescent="0.25">
      <c r="A467" s="2">
        <v>45464</v>
      </c>
      <c r="B467" s="1">
        <v>2024</v>
      </c>
      <c r="C467" s="1">
        <v>6</v>
      </c>
      <c r="D467" s="1">
        <v>56.75595238095238</v>
      </c>
      <c r="E467" s="1" t="s">
        <v>132</v>
      </c>
    </row>
    <row r="468" spans="1:5" x14ac:dyDescent="0.25">
      <c r="A468" s="2">
        <v>45464</v>
      </c>
      <c r="B468" s="1">
        <v>2024</v>
      </c>
      <c r="C468" s="1">
        <v>6</v>
      </c>
      <c r="D468" s="1">
        <v>22.633333333333333</v>
      </c>
      <c r="E468" s="1" t="s">
        <v>134</v>
      </c>
    </row>
    <row r="469" spans="1:5" x14ac:dyDescent="0.25">
      <c r="A469" s="2">
        <v>45464</v>
      </c>
      <c r="B469" s="1">
        <v>2024</v>
      </c>
      <c r="C469" s="1">
        <v>6</v>
      </c>
      <c r="D469" s="1">
        <v>8.2025781250000058</v>
      </c>
      <c r="E469" s="1" t="s">
        <v>131</v>
      </c>
    </row>
    <row r="470" spans="1:5" x14ac:dyDescent="0.25">
      <c r="A470" s="2">
        <v>45464</v>
      </c>
      <c r="B470" s="1">
        <v>2024</v>
      </c>
      <c r="C470" s="1">
        <v>6</v>
      </c>
      <c r="D470" s="1">
        <v>312.5</v>
      </c>
      <c r="E470" s="1" t="s">
        <v>7</v>
      </c>
    </row>
    <row r="471" spans="1:5" x14ac:dyDescent="0.25">
      <c r="A471" s="2">
        <v>45464</v>
      </c>
      <c r="B471" s="1">
        <v>2024</v>
      </c>
      <c r="C471" s="1">
        <v>6</v>
      </c>
      <c r="D471" s="1">
        <v>56.416666666666664</v>
      </c>
      <c r="E471" s="1" t="s">
        <v>133</v>
      </c>
    </row>
    <row r="472" spans="1:5" x14ac:dyDescent="0.25">
      <c r="A472" s="2">
        <v>45464</v>
      </c>
      <c r="B472" s="1">
        <v>2024</v>
      </c>
      <c r="C472" s="1">
        <v>6</v>
      </c>
      <c r="D472" s="1">
        <v>6661.607535714289</v>
      </c>
      <c r="E472" s="1" t="s">
        <v>130</v>
      </c>
    </row>
    <row r="473" spans="1:5" x14ac:dyDescent="0.25">
      <c r="A473" s="2">
        <v>45471</v>
      </c>
      <c r="B473" s="1">
        <v>2024</v>
      </c>
      <c r="C473" s="1">
        <v>6</v>
      </c>
      <c r="D473" s="1">
        <v>75.10499999999999</v>
      </c>
      <c r="E473" s="1" t="s">
        <v>5</v>
      </c>
    </row>
    <row r="474" spans="1:5" x14ac:dyDescent="0.25">
      <c r="A474" s="2">
        <v>45471</v>
      </c>
      <c r="B474" s="1">
        <v>2024</v>
      </c>
      <c r="C474" s="1">
        <v>6</v>
      </c>
      <c r="D474" s="1">
        <v>60.922619047619044</v>
      </c>
      <c r="E474" s="1" t="s">
        <v>132</v>
      </c>
    </row>
    <row r="475" spans="1:5" x14ac:dyDescent="0.25">
      <c r="A475" s="2">
        <v>45471</v>
      </c>
      <c r="B475" s="1">
        <v>2024</v>
      </c>
      <c r="C475" s="1">
        <v>6</v>
      </c>
      <c r="D475" s="1">
        <v>6090.9642857142844</v>
      </c>
      <c r="E475" s="1" t="s">
        <v>130</v>
      </c>
    </row>
    <row r="476" spans="1:5" x14ac:dyDescent="0.25">
      <c r="A476" s="2">
        <v>45471</v>
      </c>
      <c r="B476" s="1">
        <v>2024</v>
      </c>
      <c r="C476" s="1">
        <v>6</v>
      </c>
      <c r="D476" s="1">
        <v>21.724999999999998</v>
      </c>
      <c r="E476" s="1" t="s">
        <v>134</v>
      </c>
    </row>
    <row r="477" spans="1:5" x14ac:dyDescent="0.25">
      <c r="A477" s="2">
        <v>45471</v>
      </c>
      <c r="B477" s="1">
        <v>2024</v>
      </c>
      <c r="C477" s="1">
        <v>6</v>
      </c>
      <c r="D477" s="1">
        <v>317.5</v>
      </c>
      <c r="E477" s="1" t="s">
        <v>7</v>
      </c>
    </row>
    <row r="478" spans="1:5" x14ac:dyDescent="0.25">
      <c r="A478" s="2">
        <v>45471</v>
      </c>
      <c r="B478" s="1">
        <v>2024</v>
      </c>
      <c r="C478" s="1">
        <v>6</v>
      </c>
      <c r="D478" s="1">
        <v>59.166666666666664</v>
      </c>
      <c r="E478" s="1" t="s">
        <v>133</v>
      </c>
    </row>
    <row r="479" spans="1:5" x14ac:dyDescent="0.25">
      <c r="A479" s="2">
        <v>45471</v>
      </c>
      <c r="B479" s="1">
        <v>2024</v>
      </c>
      <c r="C479" s="1">
        <v>6</v>
      </c>
      <c r="D479" s="1">
        <v>8.2284265854779459</v>
      </c>
      <c r="E479" s="1" t="s">
        <v>131</v>
      </c>
    </row>
    <row r="480" spans="1:5" x14ac:dyDescent="0.25">
      <c r="A480" s="2">
        <v>45474</v>
      </c>
      <c r="B480" s="1">
        <v>2024</v>
      </c>
      <c r="C480" s="1">
        <v>7</v>
      </c>
      <c r="D480" s="1">
        <v>96.5</v>
      </c>
      <c r="E480" s="1" t="s">
        <v>11</v>
      </c>
    </row>
    <row r="481" spans="1:5" x14ac:dyDescent="0.25">
      <c r="A481" s="2">
        <v>45474</v>
      </c>
      <c r="B481" s="1">
        <v>2024</v>
      </c>
      <c r="C481" s="1">
        <v>7</v>
      </c>
      <c r="D481" s="1">
        <v>14990</v>
      </c>
      <c r="E481" s="1" t="s">
        <v>8</v>
      </c>
    </row>
    <row r="482" spans="1:5" x14ac:dyDescent="0.25">
      <c r="A482" s="2">
        <v>45474</v>
      </c>
      <c r="B482" s="1">
        <v>2024</v>
      </c>
      <c r="C482" s="1">
        <v>7</v>
      </c>
      <c r="D482" s="1"/>
      <c r="E482" s="1" t="s">
        <v>12</v>
      </c>
    </row>
    <row r="483" spans="1:5" x14ac:dyDescent="0.25">
      <c r="A483" s="2">
        <v>45474</v>
      </c>
      <c r="B483" s="1">
        <v>2024</v>
      </c>
      <c r="C483" s="1">
        <v>7</v>
      </c>
      <c r="D483" s="1">
        <v>414</v>
      </c>
      <c r="E483" s="1" t="s">
        <v>9</v>
      </c>
    </row>
    <row r="484" spans="1:5" x14ac:dyDescent="0.25">
      <c r="A484" s="2">
        <v>45474</v>
      </c>
      <c r="B484" s="1">
        <v>2024</v>
      </c>
      <c r="C484" s="1">
        <v>7</v>
      </c>
      <c r="D484" s="1">
        <v>122.02181585677749</v>
      </c>
      <c r="E484" s="1" t="s">
        <v>10</v>
      </c>
    </row>
    <row r="485" spans="1:5" x14ac:dyDescent="0.25">
      <c r="A485" s="2">
        <v>45478</v>
      </c>
      <c r="B485" s="1">
        <v>2024</v>
      </c>
      <c r="C485" s="1">
        <v>7</v>
      </c>
      <c r="D485" s="1">
        <v>76.835000000000008</v>
      </c>
      <c r="E485" s="1" t="s">
        <v>5</v>
      </c>
    </row>
    <row r="486" spans="1:5" x14ac:dyDescent="0.25">
      <c r="A486" s="2">
        <v>45478</v>
      </c>
      <c r="B486" s="1">
        <v>2024</v>
      </c>
      <c r="C486" s="1">
        <v>7</v>
      </c>
      <c r="D486" s="1">
        <v>63.625</v>
      </c>
      <c r="E486" s="1" t="s">
        <v>132</v>
      </c>
    </row>
    <row r="487" spans="1:5" x14ac:dyDescent="0.25">
      <c r="A487" s="2">
        <v>45478</v>
      </c>
      <c r="B487" s="1">
        <v>2024</v>
      </c>
      <c r="C487" s="1">
        <v>7</v>
      </c>
      <c r="D487" s="1">
        <v>34.583333333333336</v>
      </c>
      <c r="E487" s="1" t="s">
        <v>136</v>
      </c>
    </row>
    <row r="488" spans="1:5" x14ac:dyDescent="0.25">
      <c r="A488" s="2">
        <v>45478</v>
      </c>
      <c r="B488" s="1">
        <v>2024</v>
      </c>
      <c r="C488" s="1">
        <v>7</v>
      </c>
      <c r="D488" s="1">
        <v>7.7328382012527292</v>
      </c>
      <c r="E488" s="1" t="s">
        <v>131</v>
      </c>
    </row>
    <row r="489" spans="1:5" x14ac:dyDescent="0.25">
      <c r="A489" s="2">
        <v>45478</v>
      </c>
      <c r="B489" s="1">
        <v>2024</v>
      </c>
      <c r="C489" s="1">
        <v>7</v>
      </c>
      <c r="D489" s="1">
        <v>55.125</v>
      </c>
      <c r="E489" s="1" t="s">
        <v>133</v>
      </c>
    </row>
    <row r="490" spans="1:5" x14ac:dyDescent="0.25">
      <c r="A490" s="2">
        <v>45478</v>
      </c>
      <c r="B490" s="1">
        <v>2024</v>
      </c>
      <c r="C490" s="1">
        <v>7</v>
      </c>
      <c r="D490" s="1">
        <v>6339.4742057142885</v>
      </c>
      <c r="E490" s="1" t="s">
        <v>130</v>
      </c>
    </row>
    <row r="491" spans="1:5" x14ac:dyDescent="0.25">
      <c r="A491" s="2">
        <v>45478</v>
      </c>
      <c r="B491" s="1">
        <v>2024</v>
      </c>
      <c r="C491" s="1">
        <v>7</v>
      </c>
      <c r="D491" s="1">
        <v>317.5</v>
      </c>
      <c r="E491" s="1" t="s">
        <v>7</v>
      </c>
    </row>
    <row r="492" spans="1:5" x14ac:dyDescent="0.25">
      <c r="A492" s="2">
        <v>45478</v>
      </c>
      <c r="B492" s="1">
        <v>2024</v>
      </c>
      <c r="C492" s="1">
        <v>7</v>
      </c>
      <c r="D492" s="1">
        <v>26</v>
      </c>
      <c r="E492" s="1" t="s">
        <v>134</v>
      </c>
    </row>
    <row r="493" spans="1:5" x14ac:dyDescent="0.25">
      <c r="A493" s="2">
        <v>45485</v>
      </c>
      <c r="B493" s="1">
        <v>2024</v>
      </c>
      <c r="C493" s="1">
        <v>7</v>
      </c>
      <c r="D493" s="1">
        <v>75.694999999999993</v>
      </c>
      <c r="E493" s="1" t="s">
        <v>5</v>
      </c>
    </row>
    <row r="494" spans="1:5" x14ac:dyDescent="0.25">
      <c r="A494" s="2">
        <v>45485</v>
      </c>
      <c r="B494" s="1">
        <v>2024</v>
      </c>
      <c r="C494" s="1">
        <v>7</v>
      </c>
      <c r="D494" s="1">
        <v>33.75</v>
      </c>
      <c r="E494" s="1" t="s">
        <v>136</v>
      </c>
    </row>
    <row r="495" spans="1:5" x14ac:dyDescent="0.25">
      <c r="A495" s="2">
        <v>45485</v>
      </c>
      <c r="B495" s="1">
        <v>2024</v>
      </c>
      <c r="C495" s="1">
        <v>7</v>
      </c>
      <c r="D495" s="1">
        <v>317.5</v>
      </c>
      <c r="E495" s="1" t="s">
        <v>7</v>
      </c>
    </row>
    <row r="496" spans="1:5" x14ac:dyDescent="0.25">
      <c r="A496" s="2">
        <v>45485</v>
      </c>
      <c r="B496" s="1">
        <v>2024</v>
      </c>
      <c r="C496" s="1">
        <v>7</v>
      </c>
      <c r="D496" s="1">
        <v>25.530103295622236</v>
      </c>
      <c r="E496" s="1" t="s">
        <v>134</v>
      </c>
    </row>
    <row r="497" spans="1:5" x14ac:dyDescent="0.25">
      <c r="A497" s="2">
        <v>45485</v>
      </c>
      <c r="B497" s="1">
        <v>2024</v>
      </c>
      <c r="C497" s="1">
        <v>7</v>
      </c>
      <c r="D497" s="1">
        <v>7.364258301845048</v>
      </c>
      <c r="E497" s="1" t="s">
        <v>131</v>
      </c>
    </row>
    <row r="498" spans="1:5" x14ac:dyDescent="0.25">
      <c r="A498" s="2">
        <v>45485</v>
      </c>
      <c r="B498" s="1">
        <v>2024</v>
      </c>
      <c r="C498" s="1">
        <v>7</v>
      </c>
      <c r="D498" s="1">
        <v>5934.0253190476196</v>
      </c>
      <c r="E498" s="1" t="s">
        <v>130</v>
      </c>
    </row>
    <row r="499" spans="1:5" x14ac:dyDescent="0.25">
      <c r="A499" s="2">
        <v>45485</v>
      </c>
      <c r="B499" s="1">
        <v>2024</v>
      </c>
      <c r="C499" s="1">
        <v>7</v>
      </c>
      <c r="D499" s="1">
        <v>49.0625</v>
      </c>
      <c r="E499" s="1" t="s">
        <v>133</v>
      </c>
    </row>
    <row r="500" spans="1:5" x14ac:dyDescent="0.25">
      <c r="A500" s="2">
        <v>45485</v>
      </c>
      <c r="B500" s="1">
        <v>2024</v>
      </c>
      <c r="C500" s="1">
        <v>7</v>
      </c>
      <c r="D500" s="1">
        <v>62.1875</v>
      </c>
      <c r="E500" s="1" t="s">
        <v>132</v>
      </c>
    </row>
    <row r="501" spans="1:5" x14ac:dyDescent="0.25">
      <c r="A501" s="2">
        <v>45492</v>
      </c>
      <c r="B501" s="1">
        <v>2024</v>
      </c>
      <c r="C501" s="1">
        <v>7</v>
      </c>
      <c r="D501" s="1">
        <v>33.75</v>
      </c>
      <c r="E501" s="1" t="s">
        <v>136</v>
      </c>
    </row>
    <row r="502" spans="1:5" x14ac:dyDescent="0.25">
      <c r="A502" s="2">
        <v>45492</v>
      </c>
      <c r="B502" s="1">
        <v>2024</v>
      </c>
      <c r="C502" s="1">
        <v>7</v>
      </c>
      <c r="D502" s="1">
        <v>6339.4013142857129</v>
      </c>
      <c r="E502" s="1" t="s">
        <v>130</v>
      </c>
    </row>
    <row r="503" spans="1:5" x14ac:dyDescent="0.25">
      <c r="A503" s="2">
        <v>45492</v>
      </c>
      <c r="B503" s="1">
        <v>2024</v>
      </c>
      <c r="C503" s="1">
        <v>7</v>
      </c>
      <c r="D503" s="1">
        <v>25.404269414795731</v>
      </c>
      <c r="E503" s="1" t="s">
        <v>134</v>
      </c>
    </row>
    <row r="504" spans="1:5" x14ac:dyDescent="0.25">
      <c r="A504" s="2">
        <v>45492</v>
      </c>
      <c r="B504" s="1">
        <v>2024</v>
      </c>
      <c r="C504" s="1">
        <v>7</v>
      </c>
      <c r="D504" s="1">
        <v>63.5</v>
      </c>
      <c r="E504" s="1" t="s">
        <v>132</v>
      </c>
    </row>
    <row r="505" spans="1:5" x14ac:dyDescent="0.25">
      <c r="A505" s="2">
        <v>45492</v>
      </c>
      <c r="B505" s="1">
        <v>2024</v>
      </c>
      <c r="C505" s="1">
        <v>7</v>
      </c>
      <c r="D505" s="1">
        <v>75.740000000000009</v>
      </c>
      <c r="E505" s="1" t="s">
        <v>5</v>
      </c>
    </row>
    <row r="506" spans="1:5" x14ac:dyDescent="0.25">
      <c r="A506" s="2">
        <v>45492</v>
      </c>
      <c r="B506" s="1">
        <v>2024</v>
      </c>
      <c r="C506" s="1">
        <v>7</v>
      </c>
      <c r="D506" s="1">
        <v>6.9261109409041444</v>
      </c>
      <c r="E506" s="1" t="s">
        <v>131</v>
      </c>
    </row>
    <row r="507" spans="1:5" x14ac:dyDescent="0.25">
      <c r="A507" s="2">
        <v>45492</v>
      </c>
      <c r="B507" s="1">
        <v>2024</v>
      </c>
      <c r="C507" s="1">
        <v>7</v>
      </c>
      <c r="D507" s="1">
        <v>317.5</v>
      </c>
      <c r="E507" s="1" t="s">
        <v>7</v>
      </c>
    </row>
    <row r="508" spans="1:5" x14ac:dyDescent="0.25">
      <c r="A508" s="2">
        <v>45492</v>
      </c>
      <c r="B508" s="1">
        <v>2024</v>
      </c>
      <c r="C508" s="1">
        <v>7</v>
      </c>
      <c r="D508" s="1">
        <v>47.5</v>
      </c>
      <c r="E508" s="1" t="s">
        <v>133</v>
      </c>
    </row>
    <row r="509" spans="1:5" x14ac:dyDescent="0.25">
      <c r="A509" s="2">
        <v>45499</v>
      </c>
      <c r="B509" s="1">
        <v>2024</v>
      </c>
      <c r="C509" s="1">
        <v>7</v>
      </c>
      <c r="D509" s="1">
        <v>34.25</v>
      </c>
      <c r="E509" s="1" t="s">
        <v>136</v>
      </c>
    </row>
    <row r="510" spans="1:5" x14ac:dyDescent="0.25">
      <c r="A510" s="2">
        <v>45499</v>
      </c>
      <c r="B510" s="1">
        <v>2024</v>
      </c>
      <c r="C510" s="1">
        <v>7</v>
      </c>
      <c r="D510" s="1">
        <v>6533.7642857142837</v>
      </c>
      <c r="E510" s="1" t="s">
        <v>130</v>
      </c>
    </row>
    <row r="511" spans="1:5" x14ac:dyDescent="0.25">
      <c r="A511" s="2">
        <v>45499</v>
      </c>
      <c r="B511" s="1">
        <v>2024</v>
      </c>
      <c r="C511" s="1">
        <v>7</v>
      </c>
      <c r="D511" s="1">
        <v>312.5</v>
      </c>
      <c r="E511" s="1" t="s">
        <v>7</v>
      </c>
    </row>
    <row r="512" spans="1:5" x14ac:dyDescent="0.25">
      <c r="A512" s="2">
        <v>45499</v>
      </c>
      <c r="B512" s="1">
        <v>2024</v>
      </c>
      <c r="C512" s="1">
        <v>7</v>
      </c>
      <c r="D512" s="1">
        <v>48.888888888888886</v>
      </c>
      <c r="E512" s="1" t="s">
        <v>133</v>
      </c>
    </row>
    <row r="513" spans="1:5" x14ac:dyDescent="0.25">
      <c r="A513" s="2">
        <v>45499</v>
      </c>
      <c r="B513" s="1">
        <v>2024</v>
      </c>
      <c r="C513" s="1">
        <v>7</v>
      </c>
      <c r="D513" s="1">
        <v>21.916666666666668</v>
      </c>
      <c r="E513" s="1" t="s">
        <v>134</v>
      </c>
    </row>
    <row r="514" spans="1:5" x14ac:dyDescent="0.25">
      <c r="A514" s="2">
        <v>45499</v>
      </c>
      <c r="B514" s="1">
        <v>2024</v>
      </c>
      <c r="C514" s="1">
        <v>7</v>
      </c>
      <c r="D514" s="1">
        <v>6.8718610855800701</v>
      </c>
      <c r="E514" s="1" t="s">
        <v>131</v>
      </c>
    </row>
    <row r="515" spans="1:5" x14ac:dyDescent="0.25">
      <c r="A515" s="2">
        <v>45499</v>
      </c>
      <c r="B515" s="1">
        <v>2024</v>
      </c>
      <c r="C515" s="1">
        <v>7</v>
      </c>
      <c r="D515" s="1">
        <v>72.525000000000006</v>
      </c>
      <c r="E515" s="1" t="s">
        <v>5</v>
      </c>
    </row>
    <row r="516" spans="1:5" x14ac:dyDescent="0.25">
      <c r="A516" s="2">
        <v>45499</v>
      </c>
      <c r="B516" s="1">
        <v>2024</v>
      </c>
      <c r="C516" s="1">
        <v>7</v>
      </c>
      <c r="D516" s="1">
        <v>62.777777777777771</v>
      </c>
      <c r="E516" s="1" t="s">
        <v>132</v>
      </c>
    </row>
    <row r="517" spans="1:5" x14ac:dyDescent="0.25">
      <c r="A517" s="2">
        <v>45505</v>
      </c>
      <c r="B517" s="1">
        <v>2024</v>
      </c>
      <c r="C517" s="1">
        <v>8</v>
      </c>
      <c r="D517" s="1">
        <v>93.357142857142861</v>
      </c>
      <c r="E517" s="1" t="s">
        <v>11</v>
      </c>
    </row>
    <row r="518" spans="1:5" x14ac:dyDescent="0.25">
      <c r="A518" s="2">
        <v>45505</v>
      </c>
      <c r="B518" s="1">
        <v>2024</v>
      </c>
      <c r="C518" s="1">
        <v>8</v>
      </c>
      <c r="D518" s="1">
        <v>411</v>
      </c>
      <c r="E518" s="1" t="s">
        <v>9</v>
      </c>
    </row>
    <row r="519" spans="1:5" x14ac:dyDescent="0.25">
      <c r="A519" s="2">
        <v>45505</v>
      </c>
      <c r="B519" s="1">
        <v>2024</v>
      </c>
      <c r="C519" s="1">
        <v>8</v>
      </c>
      <c r="D519" s="1">
        <v>121.64577639751553</v>
      </c>
      <c r="E519" s="1" t="s">
        <v>10</v>
      </c>
    </row>
    <row r="520" spans="1:5" x14ac:dyDescent="0.25">
      <c r="A520" s="2">
        <v>45505</v>
      </c>
      <c r="B520" s="1">
        <v>2024</v>
      </c>
      <c r="C520" s="1">
        <v>8</v>
      </c>
      <c r="D520" s="1">
        <v>14990</v>
      </c>
      <c r="E520" s="1" t="s">
        <v>8</v>
      </c>
    </row>
    <row r="521" spans="1:5" x14ac:dyDescent="0.25">
      <c r="A521" s="2">
        <v>45506</v>
      </c>
      <c r="B521" s="1">
        <v>2024</v>
      </c>
      <c r="C521" s="1">
        <v>8</v>
      </c>
      <c r="D521" s="1">
        <v>6940.2898857142845</v>
      </c>
      <c r="E521" s="1" t="s">
        <v>130</v>
      </c>
    </row>
    <row r="522" spans="1:5" x14ac:dyDescent="0.25">
      <c r="A522" s="2">
        <v>45506</v>
      </c>
      <c r="B522" s="1">
        <v>2024</v>
      </c>
      <c r="C522" s="1">
        <v>8</v>
      </c>
      <c r="D522" s="1">
        <v>70.144999999999996</v>
      </c>
      <c r="E522" s="1" t="s">
        <v>5</v>
      </c>
    </row>
    <row r="523" spans="1:5" x14ac:dyDescent="0.25">
      <c r="A523" s="2">
        <v>45506</v>
      </c>
      <c r="B523" s="1">
        <v>2024</v>
      </c>
      <c r="C523" s="1">
        <v>8</v>
      </c>
      <c r="D523" s="1">
        <v>34.416666666666664</v>
      </c>
      <c r="E523" s="1" t="s">
        <v>136</v>
      </c>
    </row>
    <row r="524" spans="1:5" x14ac:dyDescent="0.25">
      <c r="A524" s="2">
        <v>45506</v>
      </c>
      <c r="B524" s="1">
        <v>2024</v>
      </c>
      <c r="C524" s="1">
        <v>8</v>
      </c>
      <c r="D524" s="1">
        <v>54.75</v>
      </c>
      <c r="E524" s="1" t="s">
        <v>133</v>
      </c>
    </row>
    <row r="525" spans="1:5" x14ac:dyDescent="0.25">
      <c r="A525" s="2">
        <v>45506</v>
      </c>
      <c r="B525" s="1">
        <v>2024</v>
      </c>
      <c r="C525" s="1">
        <v>8</v>
      </c>
      <c r="D525" s="1">
        <v>307.5</v>
      </c>
      <c r="E525" s="1" t="s">
        <v>7</v>
      </c>
    </row>
    <row r="526" spans="1:5" x14ac:dyDescent="0.25">
      <c r="A526" s="2">
        <v>45506</v>
      </c>
      <c r="B526" s="1">
        <v>2024</v>
      </c>
      <c r="C526" s="1">
        <v>8</v>
      </c>
      <c r="D526" s="1">
        <v>24.5</v>
      </c>
      <c r="E526" s="1" t="s">
        <v>134</v>
      </c>
    </row>
    <row r="527" spans="1:5" x14ac:dyDescent="0.25">
      <c r="A527" s="2">
        <v>45506</v>
      </c>
      <c r="B527" s="1">
        <v>2024</v>
      </c>
      <c r="C527" s="1">
        <v>8</v>
      </c>
      <c r="D527" s="1">
        <v>6.7954598546100389</v>
      </c>
      <c r="E527" s="1" t="s">
        <v>131</v>
      </c>
    </row>
    <row r="528" spans="1:5" x14ac:dyDescent="0.25">
      <c r="A528" s="2">
        <v>45506</v>
      </c>
      <c r="B528" s="1">
        <v>2024</v>
      </c>
      <c r="C528" s="1">
        <v>8</v>
      </c>
      <c r="D528" s="1">
        <v>66.25</v>
      </c>
      <c r="E528" s="1" t="s">
        <v>132</v>
      </c>
    </row>
    <row r="529" spans="1:5" x14ac:dyDescent="0.25">
      <c r="A529" s="2">
        <v>45509</v>
      </c>
      <c r="B529" s="1">
        <v>2024</v>
      </c>
      <c r="C529" s="1">
        <v>8</v>
      </c>
      <c r="D529" s="1">
        <v>-41.704802259886947</v>
      </c>
      <c r="E529" s="1" t="s">
        <v>12</v>
      </c>
    </row>
    <row r="530" spans="1:5" x14ac:dyDescent="0.25">
      <c r="A530" s="2">
        <v>45513</v>
      </c>
      <c r="B530" s="1">
        <v>2024</v>
      </c>
      <c r="C530" s="1">
        <v>8</v>
      </c>
      <c r="D530" s="1">
        <v>7584.816285714287</v>
      </c>
      <c r="E530" s="1" t="s">
        <v>130</v>
      </c>
    </row>
    <row r="531" spans="1:5" x14ac:dyDescent="0.25">
      <c r="A531" s="2">
        <v>45513</v>
      </c>
      <c r="B531" s="1">
        <v>2024</v>
      </c>
      <c r="C531" s="1">
        <v>8</v>
      </c>
      <c r="D531" s="1">
        <v>68.949999999999989</v>
      </c>
      <c r="E531" s="1" t="s">
        <v>5</v>
      </c>
    </row>
    <row r="532" spans="1:5" x14ac:dyDescent="0.25">
      <c r="A532" s="2">
        <v>45513</v>
      </c>
      <c r="B532" s="1">
        <v>2024</v>
      </c>
      <c r="C532" s="1">
        <v>8</v>
      </c>
      <c r="D532" s="1">
        <v>62.083333333333329</v>
      </c>
      <c r="E532" s="1" t="s">
        <v>132</v>
      </c>
    </row>
    <row r="533" spans="1:5" x14ac:dyDescent="0.25">
      <c r="A533" s="2">
        <v>45513</v>
      </c>
      <c r="B533" s="1">
        <v>2024</v>
      </c>
      <c r="C533" s="1">
        <v>8</v>
      </c>
      <c r="D533" s="1">
        <v>24.166666666666668</v>
      </c>
      <c r="E533" s="1" t="s">
        <v>134</v>
      </c>
    </row>
    <row r="534" spans="1:5" x14ac:dyDescent="0.25">
      <c r="A534" s="2">
        <v>45513</v>
      </c>
      <c r="B534" s="1">
        <v>2024</v>
      </c>
      <c r="C534" s="1">
        <v>8</v>
      </c>
      <c r="D534" s="1">
        <v>6.7193232570806147</v>
      </c>
      <c r="E534" s="1" t="s">
        <v>131</v>
      </c>
    </row>
    <row r="535" spans="1:5" x14ac:dyDescent="0.25">
      <c r="A535" s="2">
        <v>45513</v>
      </c>
      <c r="B535" s="1">
        <v>2024</v>
      </c>
      <c r="C535" s="1">
        <v>8</v>
      </c>
      <c r="D535" s="1">
        <v>33.583333333333336</v>
      </c>
      <c r="E535" s="1" t="s">
        <v>136</v>
      </c>
    </row>
    <row r="536" spans="1:5" x14ac:dyDescent="0.25">
      <c r="A536" s="2">
        <v>45513</v>
      </c>
      <c r="B536" s="1">
        <v>2024</v>
      </c>
      <c r="C536" s="1">
        <v>8</v>
      </c>
      <c r="D536" s="1">
        <v>307.5</v>
      </c>
      <c r="E536" s="1" t="s">
        <v>7</v>
      </c>
    </row>
    <row r="537" spans="1:5" x14ac:dyDescent="0.25">
      <c r="A537" s="2">
        <v>45513</v>
      </c>
      <c r="B537" s="1">
        <v>2024</v>
      </c>
      <c r="C537" s="1">
        <v>8</v>
      </c>
      <c r="D537" s="1">
        <v>57.666666666666671</v>
      </c>
      <c r="E537" s="1" t="s">
        <v>133</v>
      </c>
    </row>
    <row r="538" spans="1:5" x14ac:dyDescent="0.25">
      <c r="A538" s="2">
        <v>45520</v>
      </c>
      <c r="B538" s="1">
        <v>2024</v>
      </c>
      <c r="C538" s="1">
        <v>8</v>
      </c>
      <c r="D538" s="1">
        <v>7257.9220857142845</v>
      </c>
      <c r="E538" s="1" t="s">
        <v>130</v>
      </c>
    </row>
    <row r="539" spans="1:5" x14ac:dyDescent="0.25">
      <c r="A539" s="2">
        <v>45520</v>
      </c>
      <c r="B539" s="1">
        <v>2024</v>
      </c>
      <c r="C539" s="1">
        <v>8</v>
      </c>
      <c r="D539" s="1">
        <v>306.5</v>
      </c>
      <c r="E539" s="1" t="s">
        <v>7</v>
      </c>
    </row>
    <row r="540" spans="1:5" x14ac:dyDescent="0.25">
      <c r="A540" s="2">
        <v>45520</v>
      </c>
      <c r="B540" s="1">
        <v>2024</v>
      </c>
      <c r="C540" s="1">
        <v>8</v>
      </c>
      <c r="D540" s="1">
        <v>62.083333333333329</v>
      </c>
      <c r="E540" s="1" t="s">
        <v>133</v>
      </c>
    </row>
    <row r="541" spans="1:5" x14ac:dyDescent="0.25">
      <c r="A541" s="2">
        <v>45520</v>
      </c>
      <c r="B541" s="1">
        <v>2024</v>
      </c>
      <c r="C541" s="1">
        <v>8</v>
      </c>
      <c r="D541" s="1">
        <v>73.16</v>
      </c>
      <c r="E541" s="1" t="s">
        <v>5</v>
      </c>
    </row>
    <row r="542" spans="1:5" x14ac:dyDescent="0.25">
      <c r="A542" s="2">
        <v>45520</v>
      </c>
      <c r="B542" s="1">
        <v>2024</v>
      </c>
      <c r="C542" s="1">
        <v>8</v>
      </c>
      <c r="D542" s="1">
        <v>33.583333333333329</v>
      </c>
      <c r="E542" s="1" t="s">
        <v>136</v>
      </c>
    </row>
    <row r="543" spans="1:5" x14ac:dyDescent="0.25">
      <c r="A543" s="2">
        <v>45520</v>
      </c>
      <c r="B543" s="1">
        <v>2024</v>
      </c>
      <c r="C543" s="1">
        <v>8</v>
      </c>
      <c r="D543" s="1">
        <v>25.708333333333332</v>
      </c>
      <c r="E543" s="1" t="s">
        <v>134</v>
      </c>
    </row>
    <row r="544" spans="1:5" x14ac:dyDescent="0.25">
      <c r="A544" s="2">
        <v>45520</v>
      </c>
      <c r="B544" s="1">
        <v>2024</v>
      </c>
      <c r="C544" s="1">
        <v>8</v>
      </c>
      <c r="D544" s="1">
        <v>6.5947081482332566</v>
      </c>
      <c r="E544" s="1" t="s">
        <v>131</v>
      </c>
    </row>
    <row r="545" spans="1:5" x14ac:dyDescent="0.25">
      <c r="A545" s="2">
        <v>45520</v>
      </c>
      <c r="B545" s="1">
        <v>2024</v>
      </c>
      <c r="C545" s="1">
        <v>8</v>
      </c>
      <c r="D545" s="1">
        <v>55.416666666666664</v>
      </c>
      <c r="E545" s="1" t="s">
        <v>132</v>
      </c>
    </row>
    <row r="546" spans="1:5" x14ac:dyDescent="0.25">
      <c r="A546" s="2">
        <v>45527</v>
      </c>
      <c r="B546" s="1">
        <v>2024</v>
      </c>
      <c r="C546" s="1">
        <v>8</v>
      </c>
      <c r="D546" s="1">
        <v>7584.8246857142858</v>
      </c>
      <c r="E546" s="1" t="s">
        <v>130</v>
      </c>
    </row>
    <row r="547" spans="1:5" x14ac:dyDescent="0.25">
      <c r="A547" s="2">
        <v>45527</v>
      </c>
      <c r="B547" s="1">
        <v>2024</v>
      </c>
      <c r="C547" s="1">
        <v>8</v>
      </c>
      <c r="D547" s="1">
        <v>6.5485957712077933</v>
      </c>
      <c r="E547" s="1" t="s">
        <v>131</v>
      </c>
    </row>
    <row r="548" spans="1:5" x14ac:dyDescent="0.25">
      <c r="A548" s="2">
        <v>45527</v>
      </c>
      <c r="B548" s="1">
        <v>2024</v>
      </c>
      <c r="C548" s="1">
        <v>8</v>
      </c>
      <c r="D548" s="1">
        <v>54.583333333333336</v>
      </c>
      <c r="E548" s="1" t="s">
        <v>132</v>
      </c>
    </row>
    <row r="549" spans="1:5" x14ac:dyDescent="0.25">
      <c r="A549" s="2">
        <v>45527</v>
      </c>
      <c r="B549" s="1">
        <v>2024</v>
      </c>
      <c r="C549" s="1">
        <v>8</v>
      </c>
      <c r="D549" s="1">
        <v>306.5</v>
      </c>
      <c r="E549" s="1" t="s">
        <v>7</v>
      </c>
    </row>
    <row r="550" spans="1:5" x14ac:dyDescent="0.25">
      <c r="A550" s="2">
        <v>45527</v>
      </c>
      <c r="B550" s="1">
        <v>2024</v>
      </c>
      <c r="C550" s="1">
        <v>8</v>
      </c>
      <c r="D550" s="1">
        <v>25.666666666666664</v>
      </c>
      <c r="E550" s="1" t="s">
        <v>134</v>
      </c>
    </row>
    <row r="551" spans="1:5" x14ac:dyDescent="0.25">
      <c r="A551" s="2">
        <v>45527</v>
      </c>
      <c r="B551" s="1">
        <v>2024</v>
      </c>
      <c r="C551" s="1">
        <v>8</v>
      </c>
      <c r="D551" s="1">
        <v>70.42</v>
      </c>
      <c r="E551" s="1" t="s">
        <v>5</v>
      </c>
    </row>
    <row r="552" spans="1:5" x14ac:dyDescent="0.25">
      <c r="A552" s="2">
        <v>45527</v>
      </c>
      <c r="B552" s="1">
        <v>2024</v>
      </c>
      <c r="C552" s="1">
        <v>8</v>
      </c>
      <c r="D552" s="1">
        <v>33.932291666666664</v>
      </c>
      <c r="E552" s="1" t="s">
        <v>136</v>
      </c>
    </row>
    <row r="553" spans="1:5" x14ac:dyDescent="0.25">
      <c r="A553" s="2">
        <v>45527</v>
      </c>
      <c r="B553" s="1">
        <v>2024</v>
      </c>
      <c r="C553" s="1">
        <v>8</v>
      </c>
      <c r="D553" s="1">
        <v>64.583333333333329</v>
      </c>
      <c r="E553" s="1" t="s">
        <v>133</v>
      </c>
    </row>
    <row r="554" spans="1:5" x14ac:dyDescent="0.25">
      <c r="A554" s="2">
        <v>45534</v>
      </c>
      <c r="B554" s="1">
        <v>2024</v>
      </c>
      <c r="C554" s="1">
        <v>8</v>
      </c>
      <c r="D554" s="1">
        <v>7196.5130857142849</v>
      </c>
      <c r="E554" s="1" t="s">
        <v>130</v>
      </c>
    </row>
    <row r="555" spans="1:5" x14ac:dyDescent="0.25">
      <c r="A555" s="2">
        <v>45534</v>
      </c>
      <c r="B555" s="1">
        <v>2024</v>
      </c>
      <c r="C555" s="1">
        <v>8</v>
      </c>
      <c r="D555" s="1">
        <v>32.25</v>
      </c>
      <c r="E555" s="1" t="s">
        <v>136</v>
      </c>
    </row>
    <row r="556" spans="1:5" x14ac:dyDescent="0.25">
      <c r="A556" s="2">
        <v>45534</v>
      </c>
      <c r="B556" s="1">
        <v>2024</v>
      </c>
      <c r="C556" s="1">
        <v>8</v>
      </c>
      <c r="D556" s="1">
        <v>65.666666666666671</v>
      </c>
      <c r="E556" s="1" t="s">
        <v>133</v>
      </c>
    </row>
    <row r="557" spans="1:5" x14ac:dyDescent="0.25">
      <c r="A557" s="2">
        <v>45534</v>
      </c>
      <c r="B557" s="1">
        <v>2024</v>
      </c>
      <c r="C557" s="1">
        <v>8</v>
      </c>
      <c r="D557" s="1">
        <v>6.7630422581358971</v>
      </c>
      <c r="E557" s="1" t="s">
        <v>131</v>
      </c>
    </row>
    <row r="558" spans="1:5" x14ac:dyDescent="0.25">
      <c r="A558" s="2">
        <v>45534</v>
      </c>
      <c r="B558" s="1">
        <v>2024</v>
      </c>
      <c r="C558" s="1">
        <v>8</v>
      </c>
      <c r="D558" s="1">
        <v>71.825000000000003</v>
      </c>
      <c r="E558" s="1" t="s">
        <v>5</v>
      </c>
    </row>
    <row r="559" spans="1:5" x14ac:dyDescent="0.25">
      <c r="A559" s="2">
        <v>45534</v>
      </c>
      <c r="B559" s="1">
        <v>2024</v>
      </c>
      <c r="C559" s="1">
        <v>8</v>
      </c>
      <c r="D559" s="1">
        <v>306.5</v>
      </c>
      <c r="E559" s="1" t="s">
        <v>7</v>
      </c>
    </row>
    <row r="560" spans="1:5" x14ac:dyDescent="0.25">
      <c r="A560" s="2">
        <v>45534</v>
      </c>
      <c r="B560" s="1">
        <v>2024</v>
      </c>
      <c r="C560" s="1">
        <v>8</v>
      </c>
      <c r="D560" s="1">
        <v>26.375</v>
      </c>
      <c r="E560" s="1" t="s">
        <v>134</v>
      </c>
    </row>
    <row r="561" spans="1:5" x14ac:dyDescent="0.25">
      <c r="A561" s="2">
        <v>45534</v>
      </c>
      <c r="B561" s="1">
        <v>2024</v>
      </c>
      <c r="C561" s="1">
        <v>8</v>
      </c>
      <c r="D561" s="1">
        <v>57.333333333333336</v>
      </c>
      <c r="E561" s="1" t="s">
        <v>132</v>
      </c>
    </row>
    <row r="562" spans="1:5" x14ac:dyDescent="0.25">
      <c r="A562" s="2">
        <v>45536</v>
      </c>
      <c r="B562" s="1">
        <v>2024</v>
      </c>
      <c r="C562" s="1">
        <v>9</v>
      </c>
      <c r="D562" s="1">
        <v>96.015000000000001</v>
      </c>
      <c r="E562" s="1" t="s">
        <v>11</v>
      </c>
    </row>
    <row r="563" spans="1:5" x14ac:dyDescent="0.25">
      <c r="A563" s="2">
        <v>45536</v>
      </c>
      <c r="B563" s="1">
        <v>2024</v>
      </c>
      <c r="C563" s="1">
        <v>9</v>
      </c>
      <c r="D563" s="1">
        <v>121.86006211180126</v>
      </c>
      <c r="E563" s="1" t="s">
        <v>10</v>
      </c>
    </row>
    <row r="564" spans="1:5" x14ac:dyDescent="0.25">
      <c r="A564" s="2">
        <v>45536</v>
      </c>
      <c r="B564" s="1">
        <v>2024</v>
      </c>
      <c r="C564" s="1">
        <v>9</v>
      </c>
      <c r="D564" s="1">
        <v>15340</v>
      </c>
      <c r="E564" s="1" t="s">
        <v>8</v>
      </c>
    </row>
    <row r="565" spans="1:5" x14ac:dyDescent="0.25">
      <c r="A565" s="2">
        <v>45536</v>
      </c>
      <c r="B565" s="1">
        <v>2024</v>
      </c>
      <c r="C565" s="1">
        <v>9</v>
      </c>
      <c r="D565" s="1">
        <v>410</v>
      </c>
      <c r="E565" s="1" t="s">
        <v>9</v>
      </c>
    </row>
    <row r="566" spans="1:5" x14ac:dyDescent="0.25">
      <c r="A566" s="2">
        <v>45537</v>
      </c>
      <c r="B566" s="1">
        <v>2024</v>
      </c>
      <c r="C566" s="1">
        <v>9</v>
      </c>
      <c r="D566" s="1">
        <v>-17.076345604187509</v>
      </c>
      <c r="E566" s="1" t="s">
        <v>12</v>
      </c>
    </row>
    <row r="567" spans="1:5" x14ac:dyDescent="0.25">
      <c r="A567" s="2">
        <v>45541</v>
      </c>
      <c r="B567" s="1">
        <v>2024</v>
      </c>
      <c r="C567" s="1">
        <v>9</v>
      </c>
      <c r="D567" s="1">
        <v>6931.4792857142838</v>
      </c>
      <c r="E567" s="1" t="s">
        <v>130</v>
      </c>
    </row>
    <row r="568" spans="1:5" x14ac:dyDescent="0.25">
      <c r="A568" s="2">
        <v>45541</v>
      </c>
      <c r="B568" s="1">
        <v>2024</v>
      </c>
      <c r="C568" s="1">
        <v>9</v>
      </c>
      <c r="D568" s="1">
        <v>26.5</v>
      </c>
      <c r="E568" s="1" t="s">
        <v>134</v>
      </c>
    </row>
    <row r="569" spans="1:5" x14ac:dyDescent="0.25">
      <c r="A569" s="2">
        <v>45541</v>
      </c>
      <c r="B569" s="1">
        <v>2024</v>
      </c>
      <c r="C569" s="1">
        <v>9</v>
      </c>
      <c r="D569" s="1">
        <v>64.583333333333329</v>
      </c>
      <c r="E569" s="1" t="s">
        <v>133</v>
      </c>
    </row>
    <row r="570" spans="1:5" x14ac:dyDescent="0.25">
      <c r="A570" s="2">
        <v>45541</v>
      </c>
      <c r="B570" s="1">
        <v>2024</v>
      </c>
      <c r="C570" s="1">
        <v>9</v>
      </c>
      <c r="D570" s="1">
        <v>32.25</v>
      </c>
      <c r="E570" s="1" t="s">
        <v>136</v>
      </c>
    </row>
    <row r="571" spans="1:5" x14ac:dyDescent="0.25">
      <c r="A571" s="2">
        <v>45541</v>
      </c>
      <c r="B571" s="1">
        <v>2024</v>
      </c>
      <c r="C571" s="1">
        <v>9</v>
      </c>
      <c r="D571" s="1">
        <v>305</v>
      </c>
      <c r="E571" s="1" t="s">
        <v>7</v>
      </c>
    </row>
    <row r="572" spans="1:5" x14ac:dyDescent="0.25">
      <c r="A572" s="2">
        <v>45541</v>
      </c>
      <c r="B572" s="1">
        <v>2024</v>
      </c>
      <c r="C572" s="1">
        <v>9</v>
      </c>
      <c r="D572" s="1">
        <v>6.979084329044122</v>
      </c>
      <c r="E572" s="1" t="s">
        <v>131</v>
      </c>
    </row>
    <row r="573" spans="1:5" x14ac:dyDescent="0.25">
      <c r="A573" s="2">
        <v>45541</v>
      </c>
      <c r="B573" s="1">
        <v>2024</v>
      </c>
      <c r="C573" s="1">
        <v>9</v>
      </c>
      <c r="D573" s="1">
        <v>65.247500000000002</v>
      </c>
      <c r="E573" s="1" t="s">
        <v>5</v>
      </c>
    </row>
    <row r="574" spans="1:5" x14ac:dyDescent="0.25">
      <c r="A574" s="2">
        <v>45541</v>
      </c>
      <c r="B574" s="1">
        <v>2024</v>
      </c>
      <c r="C574" s="1">
        <v>9</v>
      </c>
      <c r="D574" s="1">
        <v>56.666666666666671</v>
      </c>
      <c r="E574" s="1" t="s">
        <v>132</v>
      </c>
    </row>
    <row r="575" spans="1:5" x14ac:dyDescent="0.25">
      <c r="A575" s="2">
        <v>45548</v>
      </c>
      <c r="B575" s="1">
        <v>2024</v>
      </c>
      <c r="C575" s="1">
        <v>9</v>
      </c>
      <c r="D575" s="1">
        <v>7173.5079857142864</v>
      </c>
      <c r="E575" s="1" t="s">
        <v>130</v>
      </c>
    </row>
    <row r="576" spans="1:5" x14ac:dyDescent="0.25">
      <c r="A576" s="2">
        <v>45548</v>
      </c>
      <c r="B576" s="1">
        <v>2024</v>
      </c>
      <c r="C576" s="1">
        <v>9</v>
      </c>
      <c r="D576" s="1">
        <v>61.74</v>
      </c>
      <c r="E576" s="1" t="s">
        <v>5</v>
      </c>
    </row>
    <row r="577" spans="1:5" x14ac:dyDescent="0.25">
      <c r="A577" s="2">
        <v>45548</v>
      </c>
      <c r="B577" s="1">
        <v>2024</v>
      </c>
      <c r="C577" s="1">
        <v>9</v>
      </c>
      <c r="D577" s="1">
        <v>63.875</v>
      </c>
      <c r="E577" s="1" t="s">
        <v>133</v>
      </c>
    </row>
    <row r="578" spans="1:5" x14ac:dyDescent="0.25">
      <c r="A578" s="2">
        <v>45548</v>
      </c>
      <c r="B578" s="1">
        <v>2024</v>
      </c>
      <c r="C578" s="1">
        <v>9</v>
      </c>
      <c r="D578" s="1">
        <v>26.75</v>
      </c>
      <c r="E578" s="1" t="s">
        <v>134</v>
      </c>
    </row>
    <row r="579" spans="1:5" x14ac:dyDescent="0.25">
      <c r="A579" s="2">
        <v>45548</v>
      </c>
      <c r="B579" s="1">
        <v>2024</v>
      </c>
      <c r="C579" s="1">
        <v>9</v>
      </c>
      <c r="D579" s="1">
        <v>6.813781828703708</v>
      </c>
      <c r="E579" s="1" t="s">
        <v>131</v>
      </c>
    </row>
    <row r="580" spans="1:5" x14ac:dyDescent="0.25">
      <c r="A580" s="2">
        <v>45548</v>
      </c>
      <c r="B580" s="1">
        <v>2024</v>
      </c>
      <c r="C580" s="1">
        <v>9</v>
      </c>
      <c r="D580" s="1">
        <v>32.666666666666664</v>
      </c>
      <c r="E580" s="1" t="s">
        <v>136</v>
      </c>
    </row>
    <row r="581" spans="1:5" x14ac:dyDescent="0.25">
      <c r="A581" s="2">
        <v>45548</v>
      </c>
      <c r="B581" s="1">
        <v>2024</v>
      </c>
      <c r="C581" s="1">
        <v>9</v>
      </c>
      <c r="D581" s="1">
        <v>312.5</v>
      </c>
      <c r="E581" s="1" t="s">
        <v>7</v>
      </c>
    </row>
    <row r="582" spans="1:5" x14ac:dyDescent="0.25">
      <c r="A582" s="2">
        <v>45548</v>
      </c>
      <c r="B582" s="1">
        <v>2024</v>
      </c>
      <c r="C582" s="1">
        <v>9</v>
      </c>
      <c r="D582" s="1">
        <v>51.958333333333329</v>
      </c>
      <c r="E582" s="1" t="s">
        <v>132</v>
      </c>
    </row>
    <row r="583" spans="1:5" x14ac:dyDescent="0.25">
      <c r="A583" s="2">
        <v>45555</v>
      </c>
      <c r="B583" s="1">
        <v>2024</v>
      </c>
      <c r="C583" s="1">
        <v>9</v>
      </c>
      <c r="D583" s="1">
        <v>7259.7266857142877</v>
      </c>
      <c r="E583" s="1" t="s">
        <v>130</v>
      </c>
    </row>
    <row r="584" spans="1:5" x14ac:dyDescent="0.25">
      <c r="A584" s="2">
        <v>45555</v>
      </c>
      <c r="B584" s="1">
        <v>2024</v>
      </c>
      <c r="C584" s="1">
        <v>9</v>
      </c>
      <c r="D584" s="1">
        <v>312.5</v>
      </c>
      <c r="E584" s="1" t="s">
        <v>7</v>
      </c>
    </row>
    <row r="585" spans="1:5" x14ac:dyDescent="0.25">
      <c r="A585" s="2">
        <v>45555</v>
      </c>
      <c r="B585" s="1">
        <v>2024</v>
      </c>
      <c r="C585" s="1">
        <v>9</v>
      </c>
      <c r="D585" s="1">
        <v>52.916666666666671</v>
      </c>
      <c r="E585" s="1" t="s">
        <v>132</v>
      </c>
    </row>
    <row r="586" spans="1:5" x14ac:dyDescent="0.25">
      <c r="A586" s="2">
        <v>45555</v>
      </c>
      <c r="B586" s="1">
        <v>2024</v>
      </c>
      <c r="C586" s="1">
        <v>9</v>
      </c>
      <c r="D586" s="1">
        <v>64.88</v>
      </c>
      <c r="E586" s="1" t="s">
        <v>5</v>
      </c>
    </row>
    <row r="587" spans="1:5" x14ac:dyDescent="0.25">
      <c r="A587" s="2">
        <v>45555</v>
      </c>
      <c r="B587" s="1">
        <v>2024</v>
      </c>
      <c r="C587" s="1">
        <v>9</v>
      </c>
      <c r="D587" s="1">
        <v>33.666666666666664</v>
      </c>
      <c r="E587" s="1" t="s">
        <v>136</v>
      </c>
    </row>
    <row r="588" spans="1:5" x14ac:dyDescent="0.25">
      <c r="A588" s="2">
        <v>45555</v>
      </c>
      <c r="B588" s="1">
        <v>2024</v>
      </c>
      <c r="C588" s="1">
        <v>9</v>
      </c>
      <c r="D588" s="1">
        <v>27.458333333333336</v>
      </c>
      <c r="E588" s="1" t="s">
        <v>134</v>
      </c>
    </row>
    <row r="589" spans="1:5" x14ac:dyDescent="0.25">
      <c r="A589" s="2">
        <v>45555</v>
      </c>
      <c r="B589" s="1">
        <v>2024</v>
      </c>
      <c r="C589" s="1">
        <v>9</v>
      </c>
      <c r="D589" s="1">
        <v>7.1331379623246924</v>
      </c>
      <c r="E589" s="1" t="s">
        <v>131</v>
      </c>
    </row>
    <row r="590" spans="1:5" x14ac:dyDescent="0.25">
      <c r="A590" s="2">
        <v>45555</v>
      </c>
      <c r="B590" s="1">
        <v>2024</v>
      </c>
      <c r="C590" s="1">
        <v>9</v>
      </c>
      <c r="D590" s="1">
        <v>64.166666666666671</v>
      </c>
      <c r="E590" s="1" t="s">
        <v>133</v>
      </c>
    </row>
    <row r="591" spans="1:5" x14ac:dyDescent="0.25">
      <c r="A591" s="2">
        <v>45562</v>
      </c>
      <c r="B591" s="1">
        <v>2024</v>
      </c>
      <c r="C591" s="1">
        <v>9</v>
      </c>
      <c r="D591" s="1">
        <v>7333.977485714282</v>
      </c>
      <c r="E591" s="1" t="s">
        <v>130</v>
      </c>
    </row>
    <row r="592" spans="1:5" x14ac:dyDescent="0.25">
      <c r="A592" s="2">
        <v>45562</v>
      </c>
      <c r="B592" s="1">
        <v>2024</v>
      </c>
      <c r="C592" s="1">
        <v>9</v>
      </c>
      <c r="D592" s="1">
        <v>7.1150280841503317</v>
      </c>
      <c r="E592" s="1" t="s">
        <v>131</v>
      </c>
    </row>
    <row r="593" spans="1:5" x14ac:dyDescent="0.25">
      <c r="A593" s="2">
        <v>45562</v>
      </c>
      <c r="B593" s="1">
        <v>2024</v>
      </c>
      <c r="C593" s="1">
        <v>9</v>
      </c>
      <c r="D593" s="1">
        <v>61.041666666666671</v>
      </c>
      <c r="E593" s="1" t="s">
        <v>133</v>
      </c>
    </row>
    <row r="594" spans="1:5" x14ac:dyDescent="0.25">
      <c r="A594" s="2">
        <v>45562</v>
      </c>
      <c r="B594" s="1">
        <v>2024</v>
      </c>
      <c r="C594" s="1">
        <v>9</v>
      </c>
      <c r="D594" s="1">
        <v>312.5</v>
      </c>
      <c r="E594" s="1" t="s">
        <v>7</v>
      </c>
    </row>
    <row r="595" spans="1:5" x14ac:dyDescent="0.25">
      <c r="A595" s="2">
        <v>45562</v>
      </c>
      <c r="B595" s="1">
        <v>2024</v>
      </c>
      <c r="C595" s="1">
        <v>9</v>
      </c>
      <c r="D595" s="1">
        <v>30.25</v>
      </c>
      <c r="E595" s="1" t="s">
        <v>134</v>
      </c>
    </row>
    <row r="596" spans="1:5" x14ac:dyDescent="0.25">
      <c r="A596" s="2">
        <v>45562</v>
      </c>
      <c r="B596" s="1">
        <v>2024</v>
      </c>
      <c r="C596" s="1">
        <v>9</v>
      </c>
      <c r="D596" s="1">
        <v>63.641666666666666</v>
      </c>
      <c r="E596" s="1" t="s">
        <v>5</v>
      </c>
    </row>
    <row r="597" spans="1:5" x14ac:dyDescent="0.25">
      <c r="A597" s="2">
        <v>45562</v>
      </c>
      <c r="B597" s="1">
        <v>2024</v>
      </c>
      <c r="C597" s="1">
        <v>9</v>
      </c>
      <c r="D597" s="1">
        <v>33.436458333333334</v>
      </c>
      <c r="E597" s="1" t="s">
        <v>136</v>
      </c>
    </row>
    <row r="598" spans="1:5" x14ac:dyDescent="0.25">
      <c r="A598" s="2">
        <v>45562</v>
      </c>
      <c r="B598" s="1">
        <v>2024</v>
      </c>
      <c r="C598" s="1">
        <v>9</v>
      </c>
      <c r="D598" s="1">
        <v>48.125</v>
      </c>
      <c r="E598" s="1" t="s">
        <v>132</v>
      </c>
    </row>
    <row r="599" spans="1:5" x14ac:dyDescent="0.25">
      <c r="A599" s="2">
        <v>45566</v>
      </c>
      <c r="B599" s="1">
        <v>2024</v>
      </c>
      <c r="C599" s="1">
        <v>10</v>
      </c>
      <c r="D599" s="1">
        <v>15340</v>
      </c>
      <c r="E599" s="1" t="s">
        <v>8</v>
      </c>
    </row>
    <row r="600" spans="1:5" x14ac:dyDescent="0.25">
      <c r="A600" s="2">
        <v>45566</v>
      </c>
      <c r="B600" s="1">
        <v>2024</v>
      </c>
      <c r="C600" s="1">
        <v>10</v>
      </c>
      <c r="D600" s="1">
        <v>398</v>
      </c>
      <c r="E600" s="1" t="s">
        <v>9</v>
      </c>
    </row>
    <row r="601" spans="1:5" x14ac:dyDescent="0.25">
      <c r="A601" s="2">
        <v>45566</v>
      </c>
      <c r="B601" s="1">
        <v>2024</v>
      </c>
      <c r="C601" s="1">
        <v>10</v>
      </c>
      <c r="D601" s="1">
        <v>92.618604651162784</v>
      </c>
      <c r="E601" s="1" t="s">
        <v>11</v>
      </c>
    </row>
    <row r="602" spans="1:5" x14ac:dyDescent="0.25">
      <c r="A602" s="2">
        <v>45566</v>
      </c>
      <c r="B602" s="1">
        <v>2024</v>
      </c>
      <c r="C602" s="1">
        <v>10</v>
      </c>
      <c r="D602" s="1">
        <v>-19.980790010805663</v>
      </c>
      <c r="E602" s="1" t="s">
        <v>12</v>
      </c>
    </row>
    <row r="603" spans="1:5" x14ac:dyDescent="0.25">
      <c r="A603" s="2">
        <v>45566</v>
      </c>
      <c r="B603" s="1">
        <v>2024</v>
      </c>
      <c r="C603" s="1">
        <v>10</v>
      </c>
      <c r="D603" s="1">
        <v>122.01875144718623</v>
      </c>
      <c r="E603" s="1" t="s">
        <v>10</v>
      </c>
    </row>
    <row r="604" spans="1:5" x14ac:dyDescent="0.25">
      <c r="A604" s="2">
        <v>45569</v>
      </c>
      <c r="B604" s="1">
        <v>2024</v>
      </c>
      <c r="C604" s="1">
        <v>10</v>
      </c>
      <c r="D604" s="1">
        <v>8538.4442857142876</v>
      </c>
      <c r="E604" s="1" t="s">
        <v>130</v>
      </c>
    </row>
    <row r="605" spans="1:5" x14ac:dyDescent="0.25">
      <c r="A605" s="2">
        <v>45569</v>
      </c>
      <c r="B605" s="1">
        <v>2024</v>
      </c>
      <c r="C605" s="1">
        <v>10</v>
      </c>
      <c r="D605" s="1">
        <v>29.908333333333331</v>
      </c>
      <c r="E605" s="1" t="s">
        <v>136</v>
      </c>
    </row>
    <row r="606" spans="1:5" x14ac:dyDescent="0.25">
      <c r="A606" s="2">
        <v>45569</v>
      </c>
      <c r="B606" s="1">
        <v>2024</v>
      </c>
      <c r="C606" s="1">
        <v>10</v>
      </c>
      <c r="D606" s="1">
        <v>65</v>
      </c>
      <c r="E606" s="1" t="s">
        <v>133</v>
      </c>
    </row>
    <row r="607" spans="1:5" x14ac:dyDescent="0.25">
      <c r="A607" s="2">
        <v>45569</v>
      </c>
      <c r="B607" s="1">
        <v>2024</v>
      </c>
      <c r="C607" s="1">
        <v>10</v>
      </c>
      <c r="D607" s="1">
        <v>7.1571515012254956</v>
      </c>
      <c r="E607" s="1" t="s">
        <v>131</v>
      </c>
    </row>
    <row r="608" spans="1:5" x14ac:dyDescent="0.25">
      <c r="A608" s="2">
        <v>45569</v>
      </c>
      <c r="B608" s="1">
        <v>2024</v>
      </c>
      <c r="C608" s="1">
        <v>10</v>
      </c>
      <c r="D608" s="1">
        <v>65.655000000000001</v>
      </c>
      <c r="E608" s="1" t="s">
        <v>5</v>
      </c>
    </row>
    <row r="609" spans="1:5" x14ac:dyDescent="0.25">
      <c r="A609" s="2">
        <v>45569</v>
      </c>
      <c r="B609" s="1">
        <v>2024</v>
      </c>
      <c r="C609" s="1">
        <v>10</v>
      </c>
      <c r="D609" s="1">
        <v>325</v>
      </c>
      <c r="E609" s="1" t="s">
        <v>7</v>
      </c>
    </row>
    <row r="610" spans="1:5" x14ac:dyDescent="0.25">
      <c r="A610" s="2">
        <v>45569</v>
      </c>
      <c r="B610" s="1">
        <v>2024</v>
      </c>
      <c r="C610" s="1">
        <v>10</v>
      </c>
      <c r="D610" s="1">
        <v>32.291666666666664</v>
      </c>
      <c r="E610" s="1" t="s">
        <v>134</v>
      </c>
    </row>
    <row r="611" spans="1:5" x14ac:dyDescent="0.25">
      <c r="A611" s="2">
        <v>45569</v>
      </c>
      <c r="B611" s="1">
        <v>2024</v>
      </c>
      <c r="C611" s="1">
        <v>10</v>
      </c>
      <c r="D611" s="1">
        <v>43.75</v>
      </c>
      <c r="E611" s="1" t="s">
        <v>132</v>
      </c>
    </row>
    <row r="612" spans="1:5" x14ac:dyDescent="0.25">
      <c r="A612" s="2">
        <v>45576</v>
      </c>
      <c r="B612" s="1">
        <v>2024</v>
      </c>
      <c r="C612" s="1">
        <v>10</v>
      </c>
      <c r="D612" s="1">
        <v>8503.4021857142852</v>
      </c>
      <c r="E612" s="1" t="s">
        <v>130</v>
      </c>
    </row>
    <row r="613" spans="1:5" x14ac:dyDescent="0.25">
      <c r="A613" s="2">
        <v>45576</v>
      </c>
      <c r="B613" s="1">
        <v>2024</v>
      </c>
      <c r="C613" s="1">
        <v>10</v>
      </c>
      <c r="D613" s="1">
        <v>30.375</v>
      </c>
      <c r="E613" s="1" t="s">
        <v>134</v>
      </c>
    </row>
    <row r="614" spans="1:5" x14ac:dyDescent="0.25">
      <c r="A614" s="2">
        <v>45576</v>
      </c>
      <c r="B614" s="1">
        <v>2024</v>
      </c>
      <c r="C614" s="1">
        <v>10</v>
      </c>
      <c r="D614" s="1">
        <v>64.291333333333327</v>
      </c>
      <c r="E614" s="1" t="s">
        <v>133</v>
      </c>
    </row>
    <row r="615" spans="1:5" x14ac:dyDescent="0.25">
      <c r="A615" s="2">
        <v>45576</v>
      </c>
      <c r="B615" s="1">
        <v>2024</v>
      </c>
      <c r="C615" s="1">
        <v>10</v>
      </c>
      <c r="D615" s="1">
        <v>32.760416666666671</v>
      </c>
      <c r="E615" s="1" t="s">
        <v>136</v>
      </c>
    </row>
    <row r="616" spans="1:5" x14ac:dyDescent="0.25">
      <c r="A616" s="2">
        <v>45576</v>
      </c>
      <c r="B616" s="1">
        <v>2024</v>
      </c>
      <c r="C616" s="1">
        <v>10</v>
      </c>
      <c r="D616" s="1">
        <v>335</v>
      </c>
      <c r="E616" s="1" t="s">
        <v>7</v>
      </c>
    </row>
    <row r="617" spans="1:5" x14ac:dyDescent="0.25">
      <c r="A617" s="2">
        <v>45576</v>
      </c>
      <c r="B617" s="1">
        <v>2024</v>
      </c>
      <c r="C617" s="1">
        <v>10</v>
      </c>
      <c r="D617" s="1">
        <v>6.0083310355392197</v>
      </c>
      <c r="E617" s="1" t="s">
        <v>131</v>
      </c>
    </row>
    <row r="618" spans="1:5" x14ac:dyDescent="0.25">
      <c r="A618" s="2">
        <v>45576</v>
      </c>
      <c r="B618" s="1">
        <v>2024</v>
      </c>
      <c r="C618" s="1">
        <v>10</v>
      </c>
      <c r="D618" s="1">
        <v>68.784999999999997</v>
      </c>
      <c r="E618" s="1" t="s">
        <v>5</v>
      </c>
    </row>
    <row r="619" spans="1:5" x14ac:dyDescent="0.25">
      <c r="A619" s="2">
        <v>45576</v>
      </c>
      <c r="B619" s="1">
        <v>2024</v>
      </c>
      <c r="C619" s="1">
        <v>10</v>
      </c>
      <c r="D619" s="1">
        <v>32.333249166666668</v>
      </c>
      <c r="E619" s="1" t="s">
        <v>132</v>
      </c>
    </row>
    <row r="620" spans="1:5" x14ac:dyDescent="0.25">
      <c r="A620" s="2">
        <v>45583</v>
      </c>
      <c r="B620" s="1">
        <v>2024</v>
      </c>
      <c r="C620" s="1">
        <v>10</v>
      </c>
      <c r="D620" s="1">
        <v>9136.6367523809477</v>
      </c>
      <c r="E620" s="1" t="s">
        <v>130</v>
      </c>
    </row>
    <row r="621" spans="1:5" x14ac:dyDescent="0.25">
      <c r="A621" s="2">
        <v>45583</v>
      </c>
      <c r="B621" s="1">
        <v>2024</v>
      </c>
      <c r="C621" s="1">
        <v>10</v>
      </c>
      <c r="D621" s="1">
        <v>64.34</v>
      </c>
      <c r="E621" s="1" t="s">
        <v>5</v>
      </c>
    </row>
    <row r="622" spans="1:5" x14ac:dyDescent="0.25">
      <c r="A622" s="2">
        <v>45583</v>
      </c>
      <c r="B622" s="1">
        <v>2024</v>
      </c>
      <c r="C622" s="1">
        <v>10</v>
      </c>
      <c r="D622" s="1">
        <v>68.957999999999998</v>
      </c>
      <c r="E622" s="1" t="s">
        <v>133</v>
      </c>
    </row>
    <row r="623" spans="1:5" x14ac:dyDescent="0.25">
      <c r="A623" s="2">
        <v>45583</v>
      </c>
      <c r="B623" s="1">
        <v>2024</v>
      </c>
      <c r="C623" s="1">
        <v>10</v>
      </c>
      <c r="D623" s="1">
        <v>31</v>
      </c>
      <c r="E623" s="1" t="s">
        <v>134</v>
      </c>
    </row>
    <row r="624" spans="1:5" x14ac:dyDescent="0.25">
      <c r="A624" s="2">
        <v>45583</v>
      </c>
      <c r="B624" s="1">
        <v>2024</v>
      </c>
      <c r="C624" s="1">
        <v>10</v>
      </c>
      <c r="D624" s="1">
        <v>7.1651932444852982</v>
      </c>
      <c r="E624" s="1" t="s">
        <v>131</v>
      </c>
    </row>
    <row r="625" spans="1:5" x14ac:dyDescent="0.25">
      <c r="A625" s="2">
        <v>45583</v>
      </c>
      <c r="B625" s="1">
        <v>2024</v>
      </c>
      <c r="C625" s="1">
        <v>10</v>
      </c>
      <c r="D625" s="1">
        <v>32.111689163854521</v>
      </c>
      <c r="E625" s="1" t="s">
        <v>136</v>
      </c>
    </row>
    <row r="626" spans="1:5" x14ac:dyDescent="0.25">
      <c r="A626" s="2">
        <v>45583</v>
      </c>
      <c r="B626" s="1">
        <v>2024</v>
      </c>
      <c r="C626" s="1">
        <v>10</v>
      </c>
      <c r="D626" s="1">
        <v>335</v>
      </c>
      <c r="E626" s="1" t="s">
        <v>7</v>
      </c>
    </row>
    <row r="627" spans="1:5" x14ac:dyDescent="0.25">
      <c r="A627" s="2">
        <v>45583</v>
      </c>
      <c r="B627" s="1">
        <v>2024</v>
      </c>
      <c r="C627" s="1">
        <v>10</v>
      </c>
      <c r="D627" s="1">
        <v>43.416375000000002</v>
      </c>
      <c r="E627" s="1" t="s">
        <v>132</v>
      </c>
    </row>
    <row r="628" spans="1:5" x14ac:dyDescent="0.25">
      <c r="A628" s="2">
        <v>45590</v>
      </c>
      <c r="B628" s="1">
        <v>2024</v>
      </c>
      <c r="C628" s="1">
        <v>10</v>
      </c>
      <c r="D628" s="1">
        <v>8885.4055257142845</v>
      </c>
      <c r="E628" s="1" t="s">
        <v>130</v>
      </c>
    </row>
    <row r="629" spans="1:5" x14ac:dyDescent="0.25">
      <c r="A629" s="2">
        <v>45590</v>
      </c>
      <c r="B629" s="1">
        <v>2024</v>
      </c>
      <c r="C629" s="1">
        <v>10</v>
      </c>
      <c r="D629" s="1">
        <v>335</v>
      </c>
      <c r="E629" s="1" t="s">
        <v>7</v>
      </c>
    </row>
    <row r="630" spans="1:5" x14ac:dyDescent="0.25">
      <c r="A630" s="2">
        <v>45590</v>
      </c>
      <c r="B630" s="1">
        <v>2024</v>
      </c>
      <c r="C630" s="1">
        <v>10</v>
      </c>
      <c r="D630" s="1">
        <v>42.494999999999997</v>
      </c>
      <c r="E630" s="1" t="s">
        <v>132</v>
      </c>
    </row>
    <row r="631" spans="1:5" x14ac:dyDescent="0.25">
      <c r="A631" s="2">
        <v>45590</v>
      </c>
      <c r="B631" s="1">
        <v>2024</v>
      </c>
      <c r="C631" s="1">
        <v>10</v>
      </c>
      <c r="D631" s="1">
        <v>64.855000000000004</v>
      </c>
      <c r="E631" s="1" t="s">
        <v>5</v>
      </c>
    </row>
    <row r="632" spans="1:5" x14ac:dyDescent="0.25">
      <c r="A632" s="2">
        <v>45590</v>
      </c>
      <c r="B632" s="1">
        <v>2024</v>
      </c>
      <c r="C632" s="1">
        <v>10</v>
      </c>
      <c r="D632" s="1">
        <v>30.889880952380953</v>
      </c>
      <c r="E632" s="1" t="s">
        <v>136</v>
      </c>
    </row>
    <row r="633" spans="1:5" x14ac:dyDescent="0.25">
      <c r="A633" s="2">
        <v>45590</v>
      </c>
      <c r="B633" s="1">
        <v>2024</v>
      </c>
      <c r="C633" s="1">
        <v>10</v>
      </c>
      <c r="D633" s="1">
        <v>31.25</v>
      </c>
      <c r="E633" s="1" t="s">
        <v>134</v>
      </c>
    </row>
    <row r="634" spans="1:5" x14ac:dyDescent="0.25">
      <c r="A634" s="2">
        <v>45590</v>
      </c>
      <c r="B634" s="1">
        <v>2024</v>
      </c>
      <c r="C634" s="1">
        <v>10</v>
      </c>
      <c r="D634" s="1">
        <v>7.1844934283088291</v>
      </c>
      <c r="E634" s="1" t="s">
        <v>131</v>
      </c>
    </row>
    <row r="635" spans="1:5" x14ac:dyDescent="0.25">
      <c r="A635" s="2">
        <v>45590</v>
      </c>
      <c r="B635" s="1">
        <v>2024</v>
      </c>
      <c r="C635" s="1">
        <v>10</v>
      </c>
      <c r="D635" s="1">
        <v>69.58</v>
      </c>
      <c r="E635" s="1" t="s">
        <v>133</v>
      </c>
    </row>
    <row r="636" spans="1:5" x14ac:dyDescent="0.25">
      <c r="A636" s="2">
        <v>45597</v>
      </c>
      <c r="B636" s="1">
        <v>2024</v>
      </c>
      <c r="C636" s="1">
        <v>11</v>
      </c>
      <c r="D636" s="1">
        <v>379</v>
      </c>
      <c r="E636" s="1" t="s">
        <v>9</v>
      </c>
    </row>
    <row r="637" spans="1:5" x14ac:dyDescent="0.25">
      <c r="A637" s="2">
        <v>45597</v>
      </c>
      <c r="B637" s="1">
        <v>2024</v>
      </c>
      <c r="C637" s="1">
        <v>11</v>
      </c>
      <c r="D637" s="1">
        <v>8633.1164357142861</v>
      </c>
      <c r="E637" s="1" t="s">
        <v>130</v>
      </c>
    </row>
    <row r="638" spans="1:5" x14ac:dyDescent="0.25">
      <c r="A638" s="2">
        <v>45597</v>
      </c>
      <c r="B638" s="1">
        <v>2024</v>
      </c>
      <c r="C638" s="1">
        <v>11</v>
      </c>
      <c r="D638" s="1">
        <v>7.0379843543198577</v>
      </c>
      <c r="E638" s="1" t="s">
        <v>131</v>
      </c>
    </row>
    <row r="639" spans="1:5" x14ac:dyDescent="0.25">
      <c r="A639" s="2">
        <v>45597</v>
      </c>
      <c r="B639" s="1">
        <v>2024</v>
      </c>
      <c r="C639" s="1">
        <v>11</v>
      </c>
      <c r="D639" s="1">
        <v>44.997999999999998</v>
      </c>
      <c r="E639" s="1" t="s">
        <v>132</v>
      </c>
    </row>
    <row r="640" spans="1:5" x14ac:dyDescent="0.25">
      <c r="A640" s="2">
        <v>45597</v>
      </c>
      <c r="B640" s="1">
        <v>2024</v>
      </c>
      <c r="C640" s="1">
        <v>11</v>
      </c>
      <c r="D640" s="1">
        <v>15790</v>
      </c>
      <c r="E640" s="1" t="s">
        <v>8</v>
      </c>
    </row>
    <row r="641" spans="1:5" x14ac:dyDescent="0.25">
      <c r="A641" s="2">
        <v>45597</v>
      </c>
      <c r="B641" s="1">
        <v>2024</v>
      </c>
      <c r="C641" s="1">
        <v>11</v>
      </c>
      <c r="D641" s="1">
        <v>121.96782608695652</v>
      </c>
      <c r="E641" s="1" t="s">
        <v>10</v>
      </c>
    </row>
    <row r="642" spans="1:5" x14ac:dyDescent="0.25">
      <c r="A642" s="2">
        <v>45597</v>
      </c>
      <c r="B642" s="1">
        <v>2024</v>
      </c>
      <c r="C642" s="1">
        <v>11</v>
      </c>
      <c r="D642" s="1">
        <v>68.228499999999997</v>
      </c>
      <c r="E642" s="1" t="s">
        <v>133</v>
      </c>
    </row>
    <row r="643" spans="1:5" x14ac:dyDescent="0.25">
      <c r="A643" s="2">
        <v>45597</v>
      </c>
      <c r="B643" s="1">
        <v>2024</v>
      </c>
      <c r="C643" s="1">
        <v>11</v>
      </c>
      <c r="D643" s="1">
        <v>62.337352941176476</v>
      </c>
      <c r="E643" s="1" t="s">
        <v>11</v>
      </c>
    </row>
    <row r="644" spans="1:5" x14ac:dyDescent="0.25">
      <c r="A644" s="2">
        <v>45597</v>
      </c>
      <c r="B644" s="1">
        <v>2024</v>
      </c>
      <c r="C644" s="1">
        <v>11</v>
      </c>
      <c r="D644" s="1">
        <v>332.5</v>
      </c>
      <c r="E644" s="1" t="s">
        <v>7</v>
      </c>
    </row>
    <row r="645" spans="1:5" x14ac:dyDescent="0.25">
      <c r="A645" s="2">
        <v>45597</v>
      </c>
      <c r="B645" s="1">
        <v>2024</v>
      </c>
      <c r="C645" s="1">
        <v>11</v>
      </c>
      <c r="D645" s="1">
        <v>30.75</v>
      </c>
      <c r="E645" s="1" t="s">
        <v>134</v>
      </c>
    </row>
    <row r="646" spans="1:5" x14ac:dyDescent="0.25">
      <c r="A646" s="2">
        <v>45597</v>
      </c>
      <c r="B646" s="1">
        <v>2024</v>
      </c>
      <c r="C646" s="1">
        <v>11</v>
      </c>
      <c r="D646" s="1">
        <v>62.490000000000009</v>
      </c>
      <c r="E646" s="1" t="s">
        <v>5</v>
      </c>
    </row>
    <row r="647" spans="1:5" x14ac:dyDescent="0.25">
      <c r="A647" s="2">
        <v>45597</v>
      </c>
      <c r="B647" s="1">
        <v>2024</v>
      </c>
      <c r="C647" s="1">
        <v>11</v>
      </c>
      <c r="D647" s="1">
        <v>29.958333333333336</v>
      </c>
      <c r="E647" s="1" t="s">
        <v>136</v>
      </c>
    </row>
    <row r="648" spans="1:5" x14ac:dyDescent="0.25">
      <c r="A648" s="2">
        <v>45599</v>
      </c>
      <c r="B648" s="1">
        <v>2024</v>
      </c>
      <c r="C648" s="1">
        <v>11</v>
      </c>
      <c r="D648" s="1">
        <v>29.357909459382427</v>
      </c>
      <c r="E648" s="1" t="s">
        <v>12</v>
      </c>
    </row>
    <row r="649" spans="1:5" x14ac:dyDescent="0.25">
      <c r="A649" s="2">
        <v>45604</v>
      </c>
      <c r="B649" s="1">
        <v>2024</v>
      </c>
      <c r="C649" s="1">
        <v>11</v>
      </c>
      <c r="D649" s="1">
        <v>8279.3271607142869</v>
      </c>
      <c r="E649" s="1" t="s">
        <v>130</v>
      </c>
    </row>
    <row r="650" spans="1:5" x14ac:dyDescent="0.25">
      <c r="A650" s="2">
        <v>45604</v>
      </c>
      <c r="B650" s="1">
        <v>2024</v>
      </c>
      <c r="C650" s="1">
        <v>11</v>
      </c>
      <c r="D650" s="1">
        <v>7.1924202895220635</v>
      </c>
      <c r="E650" s="1" t="s">
        <v>131</v>
      </c>
    </row>
    <row r="651" spans="1:5" x14ac:dyDescent="0.25">
      <c r="A651" s="2">
        <v>45604</v>
      </c>
      <c r="B651" s="1">
        <v>2024</v>
      </c>
      <c r="C651" s="1">
        <v>11</v>
      </c>
      <c r="D651" s="1">
        <v>65.27</v>
      </c>
      <c r="E651" s="1" t="s">
        <v>5</v>
      </c>
    </row>
    <row r="652" spans="1:5" x14ac:dyDescent="0.25">
      <c r="A652" s="2">
        <v>45604</v>
      </c>
      <c r="B652" s="1">
        <v>2024</v>
      </c>
      <c r="C652" s="1">
        <v>11</v>
      </c>
      <c r="D652" s="1">
        <v>28.541666666666664</v>
      </c>
      <c r="E652" s="1" t="s">
        <v>136</v>
      </c>
    </row>
    <row r="653" spans="1:5" x14ac:dyDescent="0.25">
      <c r="A653" s="2">
        <v>45604</v>
      </c>
      <c r="B653" s="1">
        <v>2024</v>
      </c>
      <c r="C653" s="1">
        <v>11</v>
      </c>
      <c r="D653" s="1">
        <v>48.749749999999999</v>
      </c>
      <c r="E653" s="1" t="s">
        <v>132</v>
      </c>
    </row>
    <row r="654" spans="1:5" x14ac:dyDescent="0.25">
      <c r="A654" s="2">
        <v>45604</v>
      </c>
      <c r="B654" s="1">
        <v>2024</v>
      </c>
      <c r="C654" s="1">
        <v>11</v>
      </c>
      <c r="D654" s="1">
        <v>29.375</v>
      </c>
      <c r="E654" s="1" t="s">
        <v>134</v>
      </c>
    </row>
    <row r="655" spans="1:5" x14ac:dyDescent="0.25">
      <c r="A655" s="2">
        <v>45604</v>
      </c>
      <c r="B655" s="1">
        <v>2024</v>
      </c>
      <c r="C655" s="1">
        <v>11</v>
      </c>
      <c r="D655" s="1">
        <v>325</v>
      </c>
      <c r="E655" s="1" t="s">
        <v>7</v>
      </c>
    </row>
    <row r="656" spans="1:5" x14ac:dyDescent="0.25">
      <c r="A656" s="2">
        <v>45604</v>
      </c>
      <c r="B656" s="1">
        <v>2024</v>
      </c>
      <c r="C656" s="1">
        <v>11</v>
      </c>
      <c r="D656" s="1">
        <v>69.582999999999998</v>
      </c>
      <c r="E656" s="1" t="s">
        <v>133</v>
      </c>
    </row>
    <row r="657" spans="1:5" x14ac:dyDescent="0.25">
      <c r="A657" s="2">
        <v>45611</v>
      </c>
      <c r="B657" s="1">
        <v>2024</v>
      </c>
      <c r="C657" s="1">
        <v>11</v>
      </c>
      <c r="D657" s="1">
        <v>8500.5096107142872</v>
      </c>
      <c r="E657" s="1" t="s">
        <v>130</v>
      </c>
    </row>
    <row r="658" spans="1:5" x14ac:dyDescent="0.25">
      <c r="A658" s="2">
        <v>45611</v>
      </c>
      <c r="B658" s="1">
        <v>2024</v>
      </c>
      <c r="C658" s="1">
        <v>11</v>
      </c>
      <c r="D658" s="1">
        <v>7.1328999011948575</v>
      </c>
      <c r="E658" s="1" t="s">
        <v>131</v>
      </c>
    </row>
    <row r="659" spans="1:5" x14ac:dyDescent="0.25">
      <c r="A659" s="2">
        <v>45611</v>
      </c>
      <c r="B659" s="1">
        <v>2024</v>
      </c>
      <c r="C659" s="1">
        <v>11</v>
      </c>
      <c r="D659" s="1">
        <v>310</v>
      </c>
      <c r="E659" s="1" t="s">
        <v>7</v>
      </c>
    </row>
    <row r="660" spans="1:5" x14ac:dyDescent="0.25">
      <c r="A660" s="2">
        <v>45611</v>
      </c>
      <c r="B660" s="1">
        <v>2024</v>
      </c>
      <c r="C660" s="1">
        <v>11</v>
      </c>
      <c r="D660" s="1">
        <v>42.935791666666667</v>
      </c>
      <c r="E660" s="1" t="s">
        <v>132</v>
      </c>
    </row>
    <row r="661" spans="1:5" x14ac:dyDescent="0.25">
      <c r="A661" s="2">
        <v>45611</v>
      </c>
      <c r="B661" s="1">
        <v>2024</v>
      </c>
      <c r="C661" s="1">
        <v>11</v>
      </c>
      <c r="D661" s="1">
        <v>62.77</v>
      </c>
      <c r="E661" s="1" t="s">
        <v>5</v>
      </c>
    </row>
    <row r="662" spans="1:5" x14ac:dyDescent="0.25">
      <c r="A662" s="2">
        <v>45611</v>
      </c>
      <c r="B662" s="1">
        <v>2024</v>
      </c>
      <c r="C662" s="1">
        <v>11</v>
      </c>
      <c r="D662" s="1">
        <v>28.375</v>
      </c>
      <c r="E662" s="1" t="s">
        <v>134</v>
      </c>
    </row>
    <row r="663" spans="1:5" x14ac:dyDescent="0.25">
      <c r="A663" s="2">
        <v>45611</v>
      </c>
      <c r="B663" s="1">
        <v>2024</v>
      </c>
      <c r="C663" s="1">
        <v>11</v>
      </c>
      <c r="D663" s="1">
        <v>28.75</v>
      </c>
      <c r="E663" s="1" t="s">
        <v>136</v>
      </c>
    </row>
    <row r="664" spans="1:5" x14ac:dyDescent="0.25">
      <c r="A664" s="2">
        <v>45611</v>
      </c>
      <c r="B664" s="1">
        <v>2024</v>
      </c>
      <c r="C664" s="1">
        <v>11</v>
      </c>
      <c r="D664" s="1">
        <v>67.916374999999988</v>
      </c>
      <c r="E664" s="1" t="s">
        <v>133</v>
      </c>
    </row>
    <row r="665" spans="1:5" x14ac:dyDescent="0.25">
      <c r="A665" s="2">
        <v>45618</v>
      </c>
      <c r="B665" s="1">
        <v>2024</v>
      </c>
      <c r="C665" s="1">
        <v>11</v>
      </c>
      <c r="D665" s="1">
        <v>8777.7628857142827</v>
      </c>
      <c r="E665" s="1" t="s">
        <v>130</v>
      </c>
    </row>
    <row r="666" spans="1:5" x14ac:dyDescent="0.25">
      <c r="A666" s="2">
        <v>45618</v>
      </c>
      <c r="B666" s="1">
        <v>2024</v>
      </c>
      <c r="C666" s="1">
        <v>11</v>
      </c>
      <c r="D666" s="1">
        <v>7.1638749730009241</v>
      </c>
      <c r="E666" s="1" t="s">
        <v>131</v>
      </c>
    </row>
    <row r="667" spans="1:5" x14ac:dyDescent="0.25">
      <c r="A667" s="2">
        <v>45618</v>
      </c>
      <c r="B667" s="1">
        <v>2024</v>
      </c>
      <c r="C667" s="1">
        <v>11</v>
      </c>
      <c r="D667" s="1">
        <v>28.75</v>
      </c>
      <c r="E667" s="1" t="s">
        <v>136</v>
      </c>
    </row>
    <row r="668" spans="1:5" x14ac:dyDescent="0.25">
      <c r="A668" s="2">
        <v>45618</v>
      </c>
      <c r="B668" s="1">
        <v>2024</v>
      </c>
      <c r="C668" s="1">
        <v>11</v>
      </c>
      <c r="D668" s="1">
        <v>45.624749999999999</v>
      </c>
      <c r="E668" s="1" t="s">
        <v>132</v>
      </c>
    </row>
    <row r="669" spans="1:5" x14ac:dyDescent="0.25">
      <c r="A669" s="2">
        <v>45618</v>
      </c>
      <c r="B669" s="1">
        <v>2024</v>
      </c>
      <c r="C669" s="1">
        <v>11</v>
      </c>
      <c r="D669" s="1">
        <v>310</v>
      </c>
      <c r="E669" s="1" t="s">
        <v>7</v>
      </c>
    </row>
    <row r="670" spans="1:5" x14ac:dyDescent="0.25">
      <c r="A670" s="2">
        <v>45618</v>
      </c>
      <c r="B670" s="1">
        <v>2024</v>
      </c>
      <c r="C670" s="1">
        <v>11</v>
      </c>
      <c r="D670" s="1">
        <v>27</v>
      </c>
      <c r="E670" s="1" t="s">
        <v>134</v>
      </c>
    </row>
    <row r="671" spans="1:5" x14ac:dyDescent="0.25">
      <c r="A671" s="2">
        <v>45618</v>
      </c>
      <c r="B671" s="1">
        <v>2024</v>
      </c>
      <c r="C671" s="1">
        <v>11</v>
      </c>
      <c r="D671" s="1">
        <v>64.455000000000013</v>
      </c>
      <c r="E671" s="1" t="s">
        <v>5</v>
      </c>
    </row>
    <row r="672" spans="1:5" x14ac:dyDescent="0.25">
      <c r="A672" s="2">
        <v>45618</v>
      </c>
      <c r="B672" s="1">
        <v>2024</v>
      </c>
      <c r="C672" s="1">
        <v>11</v>
      </c>
      <c r="D672" s="1">
        <v>66.874624999999995</v>
      </c>
      <c r="E672" s="1" t="s">
        <v>133</v>
      </c>
    </row>
    <row r="673" spans="1:5" x14ac:dyDescent="0.25">
      <c r="A673" s="2">
        <v>45625</v>
      </c>
      <c r="B673" s="1">
        <v>2024</v>
      </c>
      <c r="C673" s="1">
        <v>11</v>
      </c>
      <c r="D673" s="1">
        <v>9269.0076857142831</v>
      </c>
      <c r="E673" s="1" t="s">
        <v>130</v>
      </c>
    </row>
    <row r="674" spans="1:5" x14ac:dyDescent="0.25">
      <c r="A674" s="2">
        <v>45625</v>
      </c>
      <c r="B674" s="1">
        <v>2024</v>
      </c>
      <c r="C674" s="1">
        <v>11</v>
      </c>
      <c r="D674" s="1">
        <v>7.3357930836397109</v>
      </c>
      <c r="E674" s="1" t="s">
        <v>131</v>
      </c>
    </row>
    <row r="675" spans="1:5" x14ac:dyDescent="0.25">
      <c r="A675" s="2">
        <v>45625</v>
      </c>
      <c r="B675" s="1">
        <v>2024</v>
      </c>
      <c r="C675" s="1">
        <v>11</v>
      </c>
      <c r="D675" s="1">
        <v>64.467500000000001</v>
      </c>
      <c r="E675" s="1" t="s">
        <v>5</v>
      </c>
    </row>
    <row r="676" spans="1:5" x14ac:dyDescent="0.25">
      <c r="A676" s="2">
        <v>45625</v>
      </c>
      <c r="B676" s="1">
        <v>2024</v>
      </c>
      <c r="C676" s="1">
        <v>11</v>
      </c>
      <c r="D676" s="1">
        <v>53.749000000000002</v>
      </c>
      <c r="E676" s="1" t="s">
        <v>132</v>
      </c>
    </row>
    <row r="677" spans="1:5" x14ac:dyDescent="0.25">
      <c r="A677" s="2">
        <v>45625</v>
      </c>
      <c r="B677" s="1">
        <v>2024</v>
      </c>
      <c r="C677" s="1">
        <v>11</v>
      </c>
      <c r="D677" s="1">
        <v>28.780776515151516</v>
      </c>
      <c r="E677" s="1" t="s">
        <v>136</v>
      </c>
    </row>
    <row r="678" spans="1:5" x14ac:dyDescent="0.25">
      <c r="A678" s="2">
        <v>45625</v>
      </c>
      <c r="B678" s="1">
        <v>2024</v>
      </c>
      <c r="C678" s="1">
        <v>11</v>
      </c>
      <c r="D678" s="1">
        <v>27.166666666666664</v>
      </c>
      <c r="E678" s="1" t="s">
        <v>134</v>
      </c>
    </row>
    <row r="679" spans="1:5" x14ac:dyDescent="0.25">
      <c r="A679" s="2">
        <v>45625</v>
      </c>
      <c r="B679" s="1">
        <v>2024</v>
      </c>
      <c r="C679" s="1">
        <v>11</v>
      </c>
      <c r="D679" s="1">
        <v>307.5</v>
      </c>
      <c r="E679" s="1" t="s">
        <v>7</v>
      </c>
    </row>
    <row r="680" spans="1:5" x14ac:dyDescent="0.25">
      <c r="A680" s="2">
        <v>45625</v>
      </c>
      <c r="B680" s="1">
        <v>2024</v>
      </c>
      <c r="C680" s="1">
        <v>11</v>
      </c>
      <c r="D680" s="1">
        <v>69.166250000000005</v>
      </c>
      <c r="E680" s="1" t="s">
        <v>133</v>
      </c>
    </row>
    <row r="681" spans="1:5" x14ac:dyDescent="0.25">
      <c r="A681" s="2">
        <v>45627</v>
      </c>
      <c r="B681" s="1">
        <v>2024</v>
      </c>
      <c r="C681" s="1">
        <v>12</v>
      </c>
      <c r="D681" s="1">
        <v>350</v>
      </c>
      <c r="E681" s="1" t="s">
        <v>9</v>
      </c>
    </row>
    <row r="682" spans="1:5" x14ac:dyDescent="0.25">
      <c r="A682" s="2">
        <v>45627</v>
      </c>
      <c r="B682" s="1">
        <v>2024</v>
      </c>
      <c r="C682" s="1">
        <v>12</v>
      </c>
      <c r="D682" s="1">
        <v>16427</v>
      </c>
      <c r="E682" s="1" t="s">
        <v>8</v>
      </c>
    </row>
    <row r="683" spans="1:5" x14ac:dyDescent="0.25">
      <c r="A683" s="2">
        <v>45627</v>
      </c>
      <c r="B683" s="1">
        <v>2024</v>
      </c>
      <c r="C683" s="1">
        <v>12</v>
      </c>
      <c r="D683" s="1">
        <v>-33.737345331833694</v>
      </c>
      <c r="E683" s="1" t="s">
        <v>12</v>
      </c>
    </row>
    <row r="684" spans="1:5" x14ac:dyDescent="0.25">
      <c r="A684" s="2">
        <v>45627</v>
      </c>
      <c r="B684" s="1">
        <v>2024</v>
      </c>
      <c r="C684" s="1">
        <v>12</v>
      </c>
      <c r="D684" s="1">
        <v>125.5190423254282</v>
      </c>
      <c r="E684" s="1" t="s">
        <v>10</v>
      </c>
    </row>
    <row r="685" spans="1:5" x14ac:dyDescent="0.25">
      <c r="A685" s="2">
        <v>45627</v>
      </c>
      <c r="B685" s="1">
        <v>2024</v>
      </c>
      <c r="C685" s="1">
        <v>12</v>
      </c>
      <c r="D685" s="1">
        <v>49.266666666666666</v>
      </c>
      <c r="E685" s="1" t="s">
        <v>11</v>
      </c>
    </row>
    <row r="686" spans="1:5" x14ac:dyDescent="0.25">
      <c r="A686" s="2">
        <v>45632</v>
      </c>
      <c r="B686" s="1">
        <v>2024</v>
      </c>
      <c r="C686" s="1">
        <v>12</v>
      </c>
      <c r="D686" s="1">
        <v>7.2151669347426521</v>
      </c>
      <c r="E686" s="1" t="s">
        <v>131</v>
      </c>
    </row>
    <row r="687" spans="1:5" x14ac:dyDescent="0.25">
      <c r="A687" s="2">
        <v>45632</v>
      </c>
      <c r="B687" s="1">
        <v>2024</v>
      </c>
      <c r="C687" s="1">
        <v>12</v>
      </c>
      <c r="D687" s="1">
        <v>307.5</v>
      </c>
      <c r="E687" s="1" t="s">
        <v>7</v>
      </c>
    </row>
    <row r="688" spans="1:5" x14ac:dyDescent="0.25">
      <c r="A688" s="2">
        <v>45632</v>
      </c>
      <c r="B688" s="1">
        <v>2024</v>
      </c>
      <c r="C688" s="1">
        <v>12</v>
      </c>
      <c r="D688" s="1">
        <v>6279.9042857142831</v>
      </c>
      <c r="E688" s="1" t="s">
        <v>130</v>
      </c>
    </row>
    <row r="689" spans="1:5" x14ac:dyDescent="0.25">
      <c r="A689" s="2">
        <v>45632</v>
      </c>
      <c r="B689" s="1">
        <v>2024</v>
      </c>
      <c r="C689" s="1">
        <v>12</v>
      </c>
      <c r="D689" s="1">
        <v>65.207750000000004</v>
      </c>
      <c r="E689" s="1" t="s">
        <v>133</v>
      </c>
    </row>
    <row r="690" spans="1:5" x14ac:dyDescent="0.25">
      <c r="A690" s="2">
        <v>45632</v>
      </c>
      <c r="B690" s="1">
        <v>2024</v>
      </c>
      <c r="C690" s="1">
        <v>12</v>
      </c>
      <c r="D690" s="1">
        <v>64.167500000000004</v>
      </c>
      <c r="E690" s="1" t="s">
        <v>5</v>
      </c>
    </row>
    <row r="691" spans="1:5" x14ac:dyDescent="0.25">
      <c r="A691" s="2">
        <v>45632</v>
      </c>
      <c r="B691" s="1">
        <v>2024</v>
      </c>
      <c r="C691" s="1">
        <v>12</v>
      </c>
      <c r="D691" s="1">
        <v>26.041666666666664</v>
      </c>
      <c r="E691" s="1" t="s">
        <v>134</v>
      </c>
    </row>
    <row r="692" spans="1:5" x14ac:dyDescent="0.25">
      <c r="A692" s="2">
        <v>45632</v>
      </c>
      <c r="B692" s="1">
        <v>2024</v>
      </c>
      <c r="C692" s="1">
        <v>12</v>
      </c>
      <c r="D692" s="1">
        <v>28.311553030303031</v>
      </c>
      <c r="E692" s="1" t="s">
        <v>136</v>
      </c>
    </row>
    <row r="693" spans="1:5" x14ac:dyDescent="0.25">
      <c r="A693" s="2">
        <v>45632</v>
      </c>
      <c r="B693" s="1">
        <v>2024</v>
      </c>
      <c r="C693" s="1">
        <v>12</v>
      </c>
      <c r="D693" s="1">
        <v>47.70825</v>
      </c>
      <c r="E693" s="1" t="s">
        <v>132</v>
      </c>
    </row>
    <row r="694" spans="1:5" x14ac:dyDescent="0.25">
      <c r="A694" s="2">
        <v>45639</v>
      </c>
      <c r="B694" s="1">
        <v>2024</v>
      </c>
      <c r="C694" s="1">
        <v>12</v>
      </c>
      <c r="D694" s="1">
        <v>7.1807023207720633</v>
      </c>
      <c r="E694" s="1" t="s">
        <v>131</v>
      </c>
    </row>
    <row r="695" spans="1:5" x14ac:dyDescent="0.25">
      <c r="A695" s="2">
        <v>45639</v>
      </c>
      <c r="B695" s="1">
        <v>2024</v>
      </c>
      <c r="C695" s="1">
        <v>12</v>
      </c>
      <c r="D695" s="1">
        <v>317.5</v>
      </c>
      <c r="E695" s="1" t="s">
        <v>7</v>
      </c>
    </row>
    <row r="696" spans="1:5" x14ac:dyDescent="0.25">
      <c r="A696" s="2">
        <v>45639</v>
      </c>
      <c r="B696" s="1">
        <v>2024</v>
      </c>
      <c r="C696" s="1">
        <v>12</v>
      </c>
      <c r="D696" s="1">
        <v>28.311553030303031</v>
      </c>
      <c r="E696" s="1" t="s">
        <v>136</v>
      </c>
    </row>
    <row r="697" spans="1:5" x14ac:dyDescent="0.25">
      <c r="A697" s="2">
        <v>45639</v>
      </c>
      <c r="B697" s="1">
        <v>2024</v>
      </c>
      <c r="C697" s="1">
        <v>12</v>
      </c>
      <c r="D697" s="1">
        <v>65.207750000000004</v>
      </c>
      <c r="E697" s="1" t="s">
        <v>133</v>
      </c>
    </row>
    <row r="698" spans="1:5" x14ac:dyDescent="0.25">
      <c r="A698" s="2">
        <v>45639</v>
      </c>
      <c r="B698" s="1">
        <v>2024</v>
      </c>
      <c r="C698" s="1">
        <v>12</v>
      </c>
      <c r="D698" s="1">
        <v>8113.2335357142892</v>
      </c>
      <c r="E698" s="1" t="s">
        <v>130</v>
      </c>
    </row>
    <row r="699" spans="1:5" x14ac:dyDescent="0.25">
      <c r="A699" s="2">
        <v>45639</v>
      </c>
      <c r="B699" s="1">
        <v>2024</v>
      </c>
      <c r="C699" s="1">
        <v>12</v>
      </c>
      <c r="D699" s="1">
        <v>24.125</v>
      </c>
      <c r="E699" s="1" t="s">
        <v>134</v>
      </c>
    </row>
    <row r="700" spans="1:5" x14ac:dyDescent="0.25">
      <c r="A700" s="2">
        <v>45639</v>
      </c>
      <c r="B700" s="1">
        <v>2024</v>
      </c>
      <c r="C700" s="1">
        <v>12</v>
      </c>
      <c r="D700" s="1">
        <v>64</v>
      </c>
      <c r="E700" s="1" t="s">
        <v>5</v>
      </c>
    </row>
    <row r="701" spans="1:5" x14ac:dyDescent="0.25">
      <c r="A701" s="2">
        <v>45639</v>
      </c>
      <c r="B701" s="1">
        <v>2024</v>
      </c>
      <c r="C701" s="1">
        <v>12</v>
      </c>
      <c r="D701" s="1">
        <v>51.874624999999995</v>
      </c>
      <c r="E701" s="1" t="s">
        <v>132</v>
      </c>
    </row>
    <row r="702" spans="1:5" x14ac:dyDescent="0.25">
      <c r="A702" s="2">
        <v>45646</v>
      </c>
      <c r="B702" s="1">
        <v>2024</v>
      </c>
      <c r="C702" s="1">
        <v>12</v>
      </c>
      <c r="D702" s="1">
        <v>7.1817362591911813</v>
      </c>
      <c r="E702" s="1" t="s">
        <v>131</v>
      </c>
    </row>
    <row r="703" spans="1:5" x14ac:dyDescent="0.25">
      <c r="A703" s="2">
        <v>45646</v>
      </c>
      <c r="B703" s="1">
        <v>2024</v>
      </c>
      <c r="C703" s="1">
        <v>12</v>
      </c>
      <c r="D703" s="1">
        <v>321.25</v>
      </c>
      <c r="E703" s="1" t="s">
        <v>7</v>
      </c>
    </row>
    <row r="704" spans="1:5" x14ac:dyDescent="0.25">
      <c r="A704" s="2">
        <v>45646</v>
      </c>
      <c r="B704" s="1">
        <v>2024</v>
      </c>
      <c r="C704" s="1">
        <v>12</v>
      </c>
      <c r="D704" s="1">
        <v>64.13</v>
      </c>
      <c r="E704" s="1" t="s">
        <v>5</v>
      </c>
    </row>
    <row r="705" spans="1:5" x14ac:dyDescent="0.25">
      <c r="A705" s="2">
        <v>45646</v>
      </c>
      <c r="B705" s="1">
        <v>2024</v>
      </c>
      <c r="C705" s="1">
        <v>12</v>
      </c>
      <c r="D705" s="1">
        <v>65.83175</v>
      </c>
      <c r="E705" s="1" t="s">
        <v>133</v>
      </c>
    </row>
    <row r="706" spans="1:5" x14ac:dyDescent="0.25">
      <c r="A706" s="2">
        <v>45646</v>
      </c>
      <c r="B706" s="1">
        <v>2024</v>
      </c>
      <c r="C706" s="1">
        <v>12</v>
      </c>
      <c r="D706" s="1">
        <v>27.850378787878789</v>
      </c>
      <c r="E706" s="1" t="s">
        <v>136</v>
      </c>
    </row>
    <row r="707" spans="1:5" x14ac:dyDescent="0.25">
      <c r="A707" s="2">
        <v>45646</v>
      </c>
      <c r="B707" s="1">
        <v>2024</v>
      </c>
      <c r="C707" s="1">
        <v>12</v>
      </c>
      <c r="D707" s="1">
        <v>22.875</v>
      </c>
      <c r="E707" s="1" t="s">
        <v>134</v>
      </c>
    </row>
    <row r="708" spans="1:5" x14ac:dyDescent="0.25">
      <c r="A708" s="2">
        <v>45646</v>
      </c>
      <c r="B708" s="1">
        <v>2024</v>
      </c>
      <c r="C708" s="1">
        <v>12</v>
      </c>
      <c r="D708" s="1">
        <v>7659.1550857142811</v>
      </c>
      <c r="E708" s="1" t="s">
        <v>130</v>
      </c>
    </row>
    <row r="709" spans="1:5" x14ac:dyDescent="0.25">
      <c r="A709" s="2">
        <v>45646</v>
      </c>
      <c r="B709" s="1">
        <v>2024</v>
      </c>
      <c r="C709" s="1">
        <v>12</v>
      </c>
      <c r="D709" s="1">
        <v>53.332875000000001</v>
      </c>
      <c r="E709" s="1" t="s">
        <v>132</v>
      </c>
    </row>
    <row r="710" spans="1:5" x14ac:dyDescent="0.25">
      <c r="A710" s="2">
        <v>45653</v>
      </c>
      <c r="B710" s="1">
        <v>2024</v>
      </c>
      <c r="C710" s="1">
        <v>12</v>
      </c>
      <c r="D710" s="1">
        <v>7.2678977941176521</v>
      </c>
      <c r="E710" s="1" t="s">
        <v>131</v>
      </c>
    </row>
    <row r="711" spans="1:5" x14ac:dyDescent="0.25">
      <c r="A711" s="2">
        <v>45653</v>
      </c>
      <c r="B711" s="1">
        <v>2024</v>
      </c>
      <c r="C711" s="1">
        <v>12</v>
      </c>
      <c r="D711" s="1">
        <v>63.089999999999996</v>
      </c>
      <c r="E711" s="1" t="s">
        <v>5</v>
      </c>
    </row>
    <row r="712" spans="1:5" x14ac:dyDescent="0.25">
      <c r="A712" s="2">
        <v>45653</v>
      </c>
      <c r="B712" s="1">
        <v>2024</v>
      </c>
      <c r="C712" s="1">
        <v>12</v>
      </c>
      <c r="D712" s="1">
        <v>7504.6411523809456</v>
      </c>
      <c r="E712" s="1" t="s">
        <v>130</v>
      </c>
    </row>
    <row r="713" spans="1:5" x14ac:dyDescent="0.25">
      <c r="A713" s="2">
        <v>45653</v>
      </c>
      <c r="B713" s="1">
        <v>2024</v>
      </c>
      <c r="C713" s="1">
        <v>12</v>
      </c>
      <c r="D713" s="1">
        <v>66.664749999999998</v>
      </c>
      <c r="E713" s="1" t="s">
        <v>133</v>
      </c>
    </row>
    <row r="714" spans="1:5" x14ac:dyDescent="0.25">
      <c r="A714" s="2">
        <v>45653</v>
      </c>
      <c r="B714" s="1">
        <v>2024</v>
      </c>
      <c r="C714" s="1">
        <v>12</v>
      </c>
      <c r="D714" s="1">
        <v>59.582499999999996</v>
      </c>
      <c r="E714" s="1" t="s">
        <v>132</v>
      </c>
    </row>
    <row r="715" spans="1:5" x14ac:dyDescent="0.25">
      <c r="A715" s="2">
        <v>45658</v>
      </c>
      <c r="B715" s="1">
        <v>2025</v>
      </c>
      <c r="C715" s="1">
        <v>1</v>
      </c>
      <c r="D715" s="1">
        <v>134.66051470588235</v>
      </c>
      <c r="E715" s="1" t="s">
        <v>10</v>
      </c>
    </row>
    <row r="716" spans="1:5" x14ac:dyDescent="0.25">
      <c r="A716" s="2">
        <v>45658</v>
      </c>
      <c r="B716" s="1">
        <v>2025</v>
      </c>
      <c r="C716" s="1">
        <v>1</v>
      </c>
      <c r="D716" s="1">
        <v>17877</v>
      </c>
      <c r="E716" s="1" t="s">
        <v>8</v>
      </c>
    </row>
    <row r="717" spans="1:5" x14ac:dyDescent="0.25">
      <c r="A717" s="2">
        <v>45658</v>
      </c>
      <c r="B717" s="1">
        <v>2025</v>
      </c>
      <c r="C717" s="1">
        <v>1</v>
      </c>
      <c r="D717" s="1">
        <v>31.426666666666666</v>
      </c>
      <c r="E717" s="1" t="s">
        <v>11</v>
      </c>
    </row>
    <row r="718" spans="1:5" x14ac:dyDescent="0.25">
      <c r="A718" s="2">
        <v>45658</v>
      </c>
      <c r="B718" s="1">
        <v>2025</v>
      </c>
      <c r="C718" s="1">
        <v>1</v>
      </c>
      <c r="D718" s="1">
        <v>349</v>
      </c>
      <c r="E718" s="1" t="s">
        <v>9</v>
      </c>
    </row>
    <row r="719" spans="1:5" x14ac:dyDescent="0.25">
      <c r="A719" s="2">
        <v>45658</v>
      </c>
      <c r="B719" s="1">
        <v>2025</v>
      </c>
      <c r="C719" s="1">
        <v>1</v>
      </c>
      <c r="D719" s="1">
        <v>-28.82617689813253</v>
      </c>
      <c r="E719" s="1" t="s">
        <v>12</v>
      </c>
    </row>
    <row r="720" spans="1:5" x14ac:dyDescent="0.25">
      <c r="A720" s="2">
        <v>45660</v>
      </c>
      <c r="B720" s="1">
        <v>2025</v>
      </c>
      <c r="C720" s="1">
        <v>1</v>
      </c>
      <c r="D720" s="1">
        <v>7348.5906095238006</v>
      </c>
      <c r="E720" s="1" t="s">
        <v>130</v>
      </c>
    </row>
    <row r="721" spans="1:5" x14ac:dyDescent="0.25">
      <c r="A721" s="2">
        <v>45660</v>
      </c>
      <c r="B721" s="1">
        <v>2025</v>
      </c>
      <c r="C721" s="1">
        <v>1</v>
      </c>
      <c r="D721" s="1">
        <v>7.2678977941176521</v>
      </c>
      <c r="E721" s="1" t="s">
        <v>131</v>
      </c>
    </row>
    <row r="722" spans="1:5" x14ac:dyDescent="0.25">
      <c r="A722" s="2">
        <v>45660</v>
      </c>
      <c r="B722" s="1">
        <v>2025</v>
      </c>
      <c r="C722" s="1">
        <v>1</v>
      </c>
      <c r="D722" s="1">
        <v>59.582499999999996</v>
      </c>
      <c r="E722" s="1" t="s">
        <v>132</v>
      </c>
    </row>
    <row r="723" spans="1:5" x14ac:dyDescent="0.25">
      <c r="A723" s="2">
        <v>45660</v>
      </c>
      <c r="B723" s="1">
        <v>2025</v>
      </c>
      <c r="C723" s="1">
        <v>1</v>
      </c>
      <c r="D723" s="1">
        <v>65.998100000000008</v>
      </c>
      <c r="E723" s="1" t="s">
        <v>5</v>
      </c>
    </row>
    <row r="724" spans="1:5" x14ac:dyDescent="0.25">
      <c r="A724" s="2">
        <v>45660</v>
      </c>
      <c r="B724" s="1">
        <v>2025</v>
      </c>
      <c r="C724" s="1">
        <v>1</v>
      </c>
      <c r="D724" s="1">
        <v>66.664749999999998</v>
      </c>
      <c r="E724" s="1" t="s">
        <v>133</v>
      </c>
    </row>
    <row r="725" spans="1:5" x14ac:dyDescent="0.25">
      <c r="A725" s="2">
        <v>45667</v>
      </c>
      <c r="B725" s="1">
        <v>2025</v>
      </c>
      <c r="C725" s="1">
        <v>1</v>
      </c>
      <c r="D725" s="1">
        <v>337.5</v>
      </c>
      <c r="E725" s="1" t="s">
        <v>7</v>
      </c>
    </row>
    <row r="726" spans="1:5" x14ac:dyDescent="0.25">
      <c r="A726" s="2">
        <v>45667</v>
      </c>
      <c r="B726" s="1">
        <v>2025</v>
      </c>
      <c r="C726" s="1">
        <v>1</v>
      </c>
      <c r="D726" s="1">
        <v>7905.2081028571356</v>
      </c>
      <c r="E726" s="1" t="s">
        <v>130</v>
      </c>
    </row>
    <row r="727" spans="1:5" x14ac:dyDescent="0.25">
      <c r="A727" s="2">
        <v>45667</v>
      </c>
      <c r="B727" s="1">
        <v>2025</v>
      </c>
      <c r="C727" s="1">
        <v>1</v>
      </c>
      <c r="D727" s="1">
        <v>67.726399999999998</v>
      </c>
      <c r="E727" s="1" t="s">
        <v>5</v>
      </c>
    </row>
    <row r="728" spans="1:5" x14ac:dyDescent="0.25">
      <c r="A728" s="2">
        <v>45667</v>
      </c>
      <c r="B728" s="1">
        <v>2025</v>
      </c>
      <c r="C728" s="1">
        <v>1</v>
      </c>
      <c r="D728" s="1">
        <v>64.582750000000004</v>
      </c>
      <c r="E728" s="1" t="s">
        <v>133</v>
      </c>
    </row>
    <row r="729" spans="1:5" x14ac:dyDescent="0.25">
      <c r="A729" s="2">
        <v>45667</v>
      </c>
      <c r="B729" s="1">
        <v>2025</v>
      </c>
      <c r="C729" s="1">
        <v>1</v>
      </c>
      <c r="D729" s="1">
        <v>7.0971256318933875</v>
      </c>
      <c r="E729" s="1" t="s">
        <v>131</v>
      </c>
    </row>
    <row r="730" spans="1:5" x14ac:dyDescent="0.25">
      <c r="A730" s="2">
        <v>45667</v>
      </c>
      <c r="B730" s="1">
        <v>2025</v>
      </c>
      <c r="C730" s="1">
        <v>1</v>
      </c>
      <c r="D730" s="1">
        <v>26.333333333333332</v>
      </c>
      <c r="E730" s="1" t="s">
        <v>136</v>
      </c>
    </row>
    <row r="731" spans="1:5" x14ac:dyDescent="0.25">
      <c r="A731" s="2">
        <v>45667</v>
      </c>
      <c r="B731" s="1">
        <v>2025</v>
      </c>
      <c r="C731" s="1">
        <v>1</v>
      </c>
      <c r="D731" s="1">
        <v>26.5</v>
      </c>
      <c r="E731" s="1" t="s">
        <v>134</v>
      </c>
    </row>
    <row r="732" spans="1:5" x14ac:dyDescent="0.25">
      <c r="A732" s="2">
        <v>45667</v>
      </c>
      <c r="B732" s="1">
        <v>2025</v>
      </c>
      <c r="C732" s="1">
        <v>1</v>
      </c>
      <c r="D732" s="1">
        <v>54.582999999999998</v>
      </c>
      <c r="E732" s="1" t="s">
        <v>132</v>
      </c>
    </row>
    <row r="733" spans="1:5" x14ac:dyDescent="0.25">
      <c r="A733" s="2">
        <v>45674</v>
      </c>
      <c r="B733" s="1">
        <v>2025</v>
      </c>
      <c r="C733" s="1">
        <v>1</v>
      </c>
      <c r="D733" s="1">
        <v>355</v>
      </c>
      <c r="E733" s="1" t="s">
        <v>7</v>
      </c>
    </row>
    <row r="734" spans="1:5" x14ac:dyDescent="0.25">
      <c r="A734" s="2">
        <v>45674</v>
      </c>
      <c r="B734" s="1">
        <v>2025</v>
      </c>
      <c r="C734" s="1">
        <v>1</v>
      </c>
      <c r="D734" s="1">
        <v>7568.6951628571387</v>
      </c>
      <c r="E734" s="1" t="s">
        <v>130</v>
      </c>
    </row>
    <row r="735" spans="1:5" x14ac:dyDescent="0.25">
      <c r="A735" s="2">
        <v>45674</v>
      </c>
      <c r="B735" s="1">
        <v>2025</v>
      </c>
      <c r="C735" s="1">
        <v>1</v>
      </c>
      <c r="D735" s="1">
        <v>20</v>
      </c>
      <c r="E735" s="1" t="s">
        <v>134</v>
      </c>
    </row>
    <row r="736" spans="1:5" x14ac:dyDescent="0.25">
      <c r="A736" s="2">
        <v>45674</v>
      </c>
      <c r="B736" s="1">
        <v>2025</v>
      </c>
      <c r="C736" s="1">
        <v>1</v>
      </c>
      <c r="D736" s="1">
        <v>71.249750000000006</v>
      </c>
      <c r="E736" s="1" t="s">
        <v>133</v>
      </c>
    </row>
    <row r="737" spans="1:5" x14ac:dyDescent="0.25">
      <c r="A737" s="2">
        <v>45674</v>
      </c>
      <c r="B737" s="1">
        <v>2025</v>
      </c>
      <c r="C737" s="1">
        <v>1</v>
      </c>
      <c r="D737" s="1">
        <v>70.63015</v>
      </c>
      <c r="E737" s="1" t="s">
        <v>5</v>
      </c>
    </row>
    <row r="738" spans="1:5" x14ac:dyDescent="0.25">
      <c r="A738" s="2">
        <v>45674</v>
      </c>
      <c r="B738" s="1">
        <v>2025</v>
      </c>
      <c r="C738" s="1">
        <v>1</v>
      </c>
      <c r="D738" s="1">
        <v>26.333333333333332</v>
      </c>
      <c r="E738" s="1" t="s">
        <v>136</v>
      </c>
    </row>
    <row r="739" spans="1:5" x14ac:dyDescent="0.25">
      <c r="A739" s="2">
        <v>45674</v>
      </c>
      <c r="B739" s="1">
        <v>2025</v>
      </c>
      <c r="C739" s="1">
        <v>1</v>
      </c>
      <c r="D739" s="1">
        <v>9.9780571783088305</v>
      </c>
      <c r="E739" s="1" t="s">
        <v>131</v>
      </c>
    </row>
    <row r="740" spans="1:5" x14ac:dyDescent="0.25">
      <c r="A740" s="2">
        <v>45674</v>
      </c>
      <c r="B740" s="1">
        <v>2025</v>
      </c>
      <c r="C740" s="1">
        <v>1</v>
      </c>
      <c r="D740" s="1">
        <v>66.041374999999988</v>
      </c>
      <c r="E740" s="1" t="s">
        <v>132</v>
      </c>
    </row>
    <row r="741" spans="1:5" x14ac:dyDescent="0.25">
      <c r="A741" s="2">
        <v>45681</v>
      </c>
      <c r="B741" s="1">
        <v>2025</v>
      </c>
      <c r="C741" s="1">
        <v>1</v>
      </c>
      <c r="D741" s="1">
        <v>365.5</v>
      </c>
      <c r="E741" s="1" t="s">
        <v>7</v>
      </c>
    </row>
    <row r="742" spans="1:5" x14ac:dyDescent="0.25">
      <c r="A742" s="2">
        <v>45681</v>
      </c>
      <c r="B742" s="1">
        <v>2025</v>
      </c>
      <c r="C742" s="1">
        <v>1</v>
      </c>
      <c r="D742" s="1">
        <v>7247.3233428571384</v>
      </c>
      <c r="E742" s="1" t="s">
        <v>130</v>
      </c>
    </row>
    <row r="743" spans="1:5" x14ac:dyDescent="0.25">
      <c r="A743" s="2">
        <v>45681</v>
      </c>
      <c r="B743" s="1">
        <v>2025</v>
      </c>
      <c r="C743" s="1">
        <v>1</v>
      </c>
      <c r="D743" s="1">
        <v>9.5989464246323575</v>
      </c>
      <c r="E743" s="1" t="s">
        <v>131</v>
      </c>
    </row>
    <row r="744" spans="1:5" x14ac:dyDescent="0.25">
      <c r="A744" s="2">
        <v>45681</v>
      </c>
      <c r="B744" s="1">
        <v>2025</v>
      </c>
      <c r="C744" s="1">
        <v>1</v>
      </c>
      <c r="D744" s="1">
        <v>66.666499999999999</v>
      </c>
      <c r="E744" s="1" t="s">
        <v>132</v>
      </c>
    </row>
    <row r="745" spans="1:5" x14ac:dyDescent="0.25">
      <c r="A745" s="2">
        <v>45681</v>
      </c>
      <c r="B745" s="1">
        <v>2025</v>
      </c>
      <c r="C745" s="1">
        <v>1</v>
      </c>
      <c r="D745" s="1">
        <v>18.75</v>
      </c>
      <c r="E745" s="1" t="s">
        <v>134</v>
      </c>
    </row>
    <row r="746" spans="1:5" x14ac:dyDescent="0.25">
      <c r="A746" s="2">
        <v>45681</v>
      </c>
      <c r="B746" s="1">
        <v>2025</v>
      </c>
      <c r="C746" s="1">
        <v>1</v>
      </c>
      <c r="D746" s="1">
        <v>25.5</v>
      </c>
      <c r="E746" s="1" t="s">
        <v>136</v>
      </c>
    </row>
    <row r="747" spans="1:5" x14ac:dyDescent="0.25">
      <c r="A747" s="2">
        <v>45681</v>
      </c>
      <c r="B747" s="1">
        <v>2025</v>
      </c>
      <c r="C747" s="1">
        <v>1</v>
      </c>
      <c r="D747" s="1">
        <v>66.672299999999993</v>
      </c>
      <c r="E747" s="1" t="s">
        <v>5</v>
      </c>
    </row>
    <row r="748" spans="1:5" x14ac:dyDescent="0.25">
      <c r="A748" s="2">
        <v>45681</v>
      </c>
      <c r="B748" s="1">
        <v>2025</v>
      </c>
      <c r="C748" s="1">
        <v>1</v>
      </c>
      <c r="D748" s="1">
        <v>71.666249999999991</v>
      </c>
      <c r="E748" s="1" t="s">
        <v>133</v>
      </c>
    </row>
    <row r="749" spans="1:5" x14ac:dyDescent="0.25">
      <c r="A749" s="2">
        <v>45688</v>
      </c>
      <c r="B749" s="1">
        <v>2025</v>
      </c>
      <c r="C749" s="1">
        <v>1</v>
      </c>
      <c r="D749" s="1">
        <v>372.5</v>
      </c>
      <c r="E749" s="1" t="s">
        <v>7</v>
      </c>
    </row>
    <row r="750" spans="1:5" x14ac:dyDescent="0.25">
      <c r="A750" s="2">
        <v>45688</v>
      </c>
      <c r="B750" s="1">
        <v>2025</v>
      </c>
      <c r="C750" s="1">
        <v>1</v>
      </c>
      <c r="D750" s="1">
        <v>7906.0692595238088</v>
      </c>
      <c r="E750" s="1" t="s">
        <v>130</v>
      </c>
    </row>
    <row r="751" spans="1:5" x14ac:dyDescent="0.25">
      <c r="A751" s="2">
        <v>45688</v>
      </c>
      <c r="B751" s="1">
        <v>2025</v>
      </c>
      <c r="C751" s="1">
        <v>1</v>
      </c>
      <c r="D751" s="1">
        <v>64.54495</v>
      </c>
      <c r="E751" s="1" t="s">
        <v>5</v>
      </c>
    </row>
    <row r="752" spans="1:5" x14ac:dyDescent="0.25">
      <c r="A752" s="2">
        <v>45688</v>
      </c>
      <c r="B752" s="1">
        <v>2025</v>
      </c>
      <c r="C752" s="1">
        <v>1</v>
      </c>
      <c r="D752" s="1">
        <v>67.498249999999999</v>
      </c>
      <c r="E752" s="1" t="s">
        <v>133</v>
      </c>
    </row>
    <row r="753" spans="1:5" x14ac:dyDescent="0.25">
      <c r="A753" s="2">
        <v>45688</v>
      </c>
      <c r="B753" s="1">
        <v>2025</v>
      </c>
      <c r="C753" s="1">
        <v>1</v>
      </c>
      <c r="D753" s="1">
        <v>10.192547703354787</v>
      </c>
      <c r="E753" s="1" t="s">
        <v>131</v>
      </c>
    </row>
    <row r="754" spans="1:5" x14ac:dyDescent="0.25">
      <c r="A754" s="2">
        <v>45688</v>
      </c>
      <c r="B754" s="1">
        <v>2025</v>
      </c>
      <c r="C754" s="1">
        <v>1</v>
      </c>
      <c r="D754" s="1">
        <v>25.333333333333332</v>
      </c>
      <c r="E754" s="1" t="s">
        <v>136</v>
      </c>
    </row>
    <row r="755" spans="1:5" x14ac:dyDescent="0.25">
      <c r="A755" s="2">
        <v>45688</v>
      </c>
      <c r="B755" s="1">
        <v>2025</v>
      </c>
      <c r="C755" s="1">
        <v>1</v>
      </c>
      <c r="D755" s="1">
        <v>18.75</v>
      </c>
      <c r="E755" s="1" t="s">
        <v>134</v>
      </c>
    </row>
    <row r="756" spans="1:5" x14ac:dyDescent="0.25">
      <c r="A756" s="2">
        <v>45688</v>
      </c>
      <c r="B756" s="1">
        <v>2025</v>
      </c>
      <c r="C756" s="1">
        <v>1</v>
      </c>
      <c r="D756" s="1">
        <v>68.540374999999997</v>
      </c>
      <c r="E756" s="1" t="s">
        <v>132</v>
      </c>
    </row>
    <row r="757" spans="1:5" x14ac:dyDescent="0.25">
      <c r="A757" s="2">
        <v>45689</v>
      </c>
      <c r="B757" s="1">
        <v>2025</v>
      </c>
      <c r="C757" s="1">
        <v>2</v>
      </c>
      <c r="D757" s="1">
        <v>133.94283034953111</v>
      </c>
      <c r="E757" s="1" t="s">
        <v>10</v>
      </c>
    </row>
    <row r="758" spans="1:5" x14ac:dyDescent="0.25">
      <c r="A758" s="2">
        <v>45689</v>
      </c>
      <c r="B758" s="1">
        <v>2025</v>
      </c>
      <c r="C758" s="1">
        <v>2</v>
      </c>
      <c r="D758" s="1">
        <v>355</v>
      </c>
      <c r="E758" s="1" t="s">
        <v>9</v>
      </c>
    </row>
    <row r="759" spans="1:5" x14ac:dyDescent="0.25">
      <c r="A759" s="2">
        <v>45689</v>
      </c>
      <c r="B759" s="1">
        <v>2025</v>
      </c>
      <c r="C759" s="1">
        <v>2</v>
      </c>
      <c r="D759" s="1">
        <v>24.085217391304347</v>
      </c>
      <c r="E759" s="1" t="s">
        <v>11</v>
      </c>
    </row>
    <row r="760" spans="1:5" x14ac:dyDescent="0.25">
      <c r="A760" s="2">
        <v>45689</v>
      </c>
      <c r="B760" s="1">
        <v>2025</v>
      </c>
      <c r="C760" s="1">
        <v>2</v>
      </c>
      <c r="D760" s="1">
        <v>19877</v>
      </c>
      <c r="E760" s="1" t="s">
        <v>8</v>
      </c>
    </row>
    <row r="761" spans="1:5" x14ac:dyDescent="0.25">
      <c r="A761" s="2">
        <v>45691</v>
      </c>
      <c r="B761" s="1">
        <v>2025</v>
      </c>
      <c r="C761" s="1">
        <v>2</v>
      </c>
      <c r="D761" s="1">
        <v>-82.77145858007998</v>
      </c>
      <c r="E761" s="1" t="s">
        <v>12</v>
      </c>
    </row>
    <row r="762" spans="1:5" x14ac:dyDescent="0.25">
      <c r="A762" s="2">
        <v>45695</v>
      </c>
      <c r="B762" s="1">
        <v>2025</v>
      </c>
      <c r="C762" s="1">
        <v>2</v>
      </c>
      <c r="D762" s="1">
        <v>7897.9398428571421</v>
      </c>
      <c r="E762" s="1" t="s">
        <v>130</v>
      </c>
    </row>
    <row r="763" spans="1:5" x14ac:dyDescent="0.25">
      <c r="A763" s="2">
        <v>45695</v>
      </c>
      <c r="B763" s="1">
        <v>2025</v>
      </c>
      <c r="C763" s="1">
        <v>2</v>
      </c>
      <c r="D763" s="1">
        <v>18.125</v>
      </c>
      <c r="E763" s="1" t="s">
        <v>134</v>
      </c>
    </row>
    <row r="764" spans="1:5" x14ac:dyDescent="0.25">
      <c r="A764" s="2">
        <v>45695</v>
      </c>
      <c r="B764" s="1">
        <v>2025</v>
      </c>
      <c r="C764" s="1">
        <v>2</v>
      </c>
      <c r="D764" s="1">
        <v>379</v>
      </c>
      <c r="E764" s="1" t="s">
        <v>7</v>
      </c>
    </row>
    <row r="765" spans="1:5" x14ac:dyDescent="0.25">
      <c r="A765" s="2">
        <v>45695</v>
      </c>
      <c r="B765" s="1">
        <v>2025</v>
      </c>
      <c r="C765" s="1">
        <v>2</v>
      </c>
      <c r="D765" s="1">
        <v>65.624750000000006</v>
      </c>
      <c r="E765" s="1" t="s">
        <v>133</v>
      </c>
    </row>
    <row r="766" spans="1:5" x14ac:dyDescent="0.25">
      <c r="A766" s="2">
        <v>45695</v>
      </c>
      <c r="B766" s="1">
        <v>2025</v>
      </c>
      <c r="C766" s="1">
        <v>2</v>
      </c>
      <c r="D766" s="1">
        <v>62.938100000000006</v>
      </c>
      <c r="E766" s="1" t="s">
        <v>5</v>
      </c>
    </row>
    <row r="767" spans="1:5" x14ac:dyDescent="0.25">
      <c r="A767" s="2">
        <v>45695</v>
      </c>
      <c r="B767" s="1">
        <v>2025</v>
      </c>
      <c r="C767" s="1">
        <v>2</v>
      </c>
      <c r="D767" s="1">
        <v>25.666666666666668</v>
      </c>
      <c r="E767" s="1" t="s">
        <v>136</v>
      </c>
    </row>
    <row r="768" spans="1:5" x14ac:dyDescent="0.25">
      <c r="A768" s="2">
        <v>45695</v>
      </c>
      <c r="B768" s="1">
        <v>2025</v>
      </c>
      <c r="C768" s="1">
        <v>2</v>
      </c>
      <c r="D768" s="1">
        <v>9.943023898207727</v>
      </c>
      <c r="E768" s="1" t="s">
        <v>131</v>
      </c>
    </row>
    <row r="769" spans="1:5" x14ac:dyDescent="0.25">
      <c r="A769" s="2">
        <v>45695</v>
      </c>
      <c r="B769" s="1">
        <v>2025</v>
      </c>
      <c r="C769" s="1">
        <v>2</v>
      </c>
      <c r="D769" s="1">
        <v>67.290999999999997</v>
      </c>
      <c r="E769" s="1" t="s">
        <v>132</v>
      </c>
    </row>
    <row r="770" spans="1:5" x14ac:dyDescent="0.25">
      <c r="A770" s="2">
        <v>45702</v>
      </c>
      <c r="B770" s="1">
        <v>2025</v>
      </c>
      <c r="C770" s="1">
        <v>2</v>
      </c>
      <c r="D770" s="1">
        <v>6811.2710928571414</v>
      </c>
      <c r="E770" s="1" t="s">
        <v>130</v>
      </c>
    </row>
    <row r="771" spans="1:5" x14ac:dyDescent="0.25">
      <c r="A771" s="2">
        <v>45702</v>
      </c>
      <c r="B771" s="1">
        <v>2025</v>
      </c>
      <c r="C771" s="1">
        <v>2</v>
      </c>
      <c r="D771" s="1">
        <v>17.875</v>
      </c>
      <c r="E771" s="1" t="s">
        <v>134</v>
      </c>
    </row>
    <row r="772" spans="1:5" x14ac:dyDescent="0.25">
      <c r="A772" s="2">
        <v>45702</v>
      </c>
      <c r="B772" s="1">
        <v>2025</v>
      </c>
      <c r="C772" s="1">
        <v>2</v>
      </c>
      <c r="D772" s="1">
        <v>9.8742152964154482</v>
      </c>
      <c r="E772" s="1" t="s">
        <v>131</v>
      </c>
    </row>
    <row r="773" spans="1:5" x14ac:dyDescent="0.25">
      <c r="A773" s="2">
        <v>45702</v>
      </c>
      <c r="B773" s="1">
        <v>2025</v>
      </c>
      <c r="C773" s="1">
        <v>2</v>
      </c>
      <c r="D773" s="1">
        <v>65.31</v>
      </c>
      <c r="E773" s="1" t="s">
        <v>133</v>
      </c>
    </row>
    <row r="774" spans="1:5" x14ac:dyDescent="0.25">
      <c r="A774" s="2">
        <v>45702</v>
      </c>
      <c r="B774" s="1">
        <v>2025</v>
      </c>
      <c r="C774" s="1">
        <v>2</v>
      </c>
      <c r="D774" s="1">
        <v>390</v>
      </c>
      <c r="E774" s="1" t="s">
        <v>7</v>
      </c>
    </row>
    <row r="775" spans="1:5" x14ac:dyDescent="0.25">
      <c r="A775" s="2">
        <v>45702</v>
      </c>
      <c r="B775" s="1">
        <v>2025</v>
      </c>
      <c r="C775" s="1">
        <v>2</v>
      </c>
      <c r="D775" s="1">
        <v>26.333333333333336</v>
      </c>
      <c r="E775" s="1" t="s">
        <v>136</v>
      </c>
    </row>
    <row r="776" spans="1:5" x14ac:dyDescent="0.25">
      <c r="A776" s="2">
        <v>45702</v>
      </c>
      <c r="B776" s="1">
        <v>2025</v>
      </c>
      <c r="C776" s="1">
        <v>2</v>
      </c>
      <c r="D776" s="1">
        <v>63.688199999999988</v>
      </c>
      <c r="E776" s="1" t="s">
        <v>5</v>
      </c>
    </row>
    <row r="777" spans="1:5" x14ac:dyDescent="0.25">
      <c r="A777" s="2">
        <v>45702</v>
      </c>
      <c r="B777" s="1">
        <v>2025</v>
      </c>
      <c r="C777" s="1">
        <v>2</v>
      </c>
      <c r="D777" s="1">
        <v>66.454125000000005</v>
      </c>
      <c r="E777" s="1" t="s">
        <v>132</v>
      </c>
    </row>
    <row r="778" spans="1:5" x14ac:dyDescent="0.25">
      <c r="A778" s="2">
        <v>45709</v>
      </c>
      <c r="B778" s="1">
        <v>2025</v>
      </c>
      <c r="C778" s="1">
        <v>2</v>
      </c>
      <c r="D778" s="1">
        <v>7345.6757428571455</v>
      </c>
      <c r="E778" s="1" t="s">
        <v>130</v>
      </c>
    </row>
    <row r="779" spans="1:5" x14ac:dyDescent="0.25">
      <c r="A779" s="2">
        <v>45709</v>
      </c>
      <c r="B779" s="1">
        <v>2025</v>
      </c>
      <c r="C779" s="1">
        <v>2</v>
      </c>
      <c r="D779" s="1">
        <v>18.375</v>
      </c>
      <c r="E779" s="1" t="s">
        <v>134</v>
      </c>
    </row>
    <row r="780" spans="1:5" x14ac:dyDescent="0.25">
      <c r="A780" s="2">
        <v>45709</v>
      </c>
      <c r="B780" s="1">
        <v>2025</v>
      </c>
      <c r="C780" s="1">
        <v>2</v>
      </c>
      <c r="D780" s="1">
        <v>64.629600000000011</v>
      </c>
      <c r="E780" s="1" t="s">
        <v>5</v>
      </c>
    </row>
    <row r="781" spans="1:5" x14ac:dyDescent="0.25">
      <c r="A781" s="2">
        <v>45709</v>
      </c>
      <c r="B781" s="1">
        <v>2025</v>
      </c>
      <c r="C781" s="1">
        <v>2</v>
      </c>
      <c r="D781" s="1">
        <v>66.766999999999996</v>
      </c>
      <c r="E781" s="1" t="s">
        <v>132</v>
      </c>
    </row>
    <row r="782" spans="1:5" x14ac:dyDescent="0.25">
      <c r="A782" s="2">
        <v>45709</v>
      </c>
      <c r="B782" s="1">
        <v>2025</v>
      </c>
      <c r="C782" s="1">
        <v>2</v>
      </c>
      <c r="D782" s="1">
        <v>9.9086799103860361</v>
      </c>
      <c r="E782" s="1" t="s">
        <v>131</v>
      </c>
    </row>
    <row r="783" spans="1:5" x14ac:dyDescent="0.25">
      <c r="A783" s="2">
        <v>45709</v>
      </c>
      <c r="B783" s="1">
        <v>2025</v>
      </c>
      <c r="C783" s="1">
        <v>2</v>
      </c>
      <c r="D783" s="1">
        <v>26.666666666666668</v>
      </c>
      <c r="E783" s="1" t="s">
        <v>136</v>
      </c>
    </row>
    <row r="784" spans="1:5" x14ac:dyDescent="0.25">
      <c r="A784" s="2">
        <v>45709</v>
      </c>
      <c r="B784" s="1">
        <v>2025</v>
      </c>
      <c r="C784" s="1">
        <v>2</v>
      </c>
      <c r="D784" s="1">
        <v>390</v>
      </c>
      <c r="E784" s="1" t="s">
        <v>7</v>
      </c>
    </row>
    <row r="785" spans="1:5" x14ac:dyDescent="0.25">
      <c r="A785" s="2">
        <v>45709</v>
      </c>
      <c r="B785" s="1">
        <v>2025</v>
      </c>
      <c r="C785" s="1">
        <v>2</v>
      </c>
      <c r="D785" s="1">
        <v>64.581249999999997</v>
      </c>
      <c r="E785" s="1" t="s">
        <v>133</v>
      </c>
    </row>
    <row r="786" spans="1:5" x14ac:dyDescent="0.25">
      <c r="A786" s="2">
        <v>45716</v>
      </c>
      <c r="B786" s="1">
        <v>2025</v>
      </c>
      <c r="C786" s="1">
        <v>2</v>
      </c>
      <c r="D786" s="1">
        <v>8476.6800095238086</v>
      </c>
      <c r="E786" s="1" t="s">
        <v>130</v>
      </c>
    </row>
    <row r="787" spans="1:5" x14ac:dyDescent="0.25">
      <c r="A787" s="2">
        <v>45716</v>
      </c>
      <c r="B787" s="1">
        <v>2025</v>
      </c>
      <c r="C787" s="1">
        <v>2</v>
      </c>
      <c r="D787" s="1">
        <v>19</v>
      </c>
      <c r="E787" s="1" t="s">
        <v>134</v>
      </c>
    </row>
    <row r="788" spans="1:5" x14ac:dyDescent="0.25">
      <c r="A788" s="2">
        <v>45716</v>
      </c>
      <c r="B788" s="1">
        <v>2025</v>
      </c>
      <c r="C788" s="1">
        <v>2</v>
      </c>
      <c r="D788" s="1">
        <v>390</v>
      </c>
      <c r="E788" s="1" t="s">
        <v>7</v>
      </c>
    </row>
    <row r="789" spans="1:5" x14ac:dyDescent="0.25">
      <c r="A789" s="2">
        <v>45716</v>
      </c>
      <c r="B789" s="1">
        <v>2025</v>
      </c>
      <c r="C789" s="1">
        <v>2</v>
      </c>
      <c r="D789" s="1">
        <v>66.666375000000002</v>
      </c>
      <c r="E789" s="1" t="s">
        <v>132</v>
      </c>
    </row>
    <row r="790" spans="1:5" x14ac:dyDescent="0.25">
      <c r="A790" s="2">
        <v>45716</v>
      </c>
      <c r="B790" s="1">
        <v>2025</v>
      </c>
      <c r="C790" s="1">
        <v>2</v>
      </c>
      <c r="D790" s="1">
        <v>62.165700000000001</v>
      </c>
      <c r="E790" s="1" t="s">
        <v>5</v>
      </c>
    </row>
    <row r="791" spans="1:5" x14ac:dyDescent="0.25">
      <c r="A791" s="2">
        <v>45716</v>
      </c>
      <c r="B791" s="1">
        <v>2025</v>
      </c>
      <c r="C791" s="1">
        <v>2</v>
      </c>
      <c r="D791" s="1">
        <v>26.666666666666668</v>
      </c>
      <c r="E791" s="1" t="s">
        <v>136</v>
      </c>
    </row>
    <row r="792" spans="1:5" x14ac:dyDescent="0.25">
      <c r="A792" s="2">
        <v>45716</v>
      </c>
      <c r="B792" s="1">
        <v>2025</v>
      </c>
      <c r="C792" s="1">
        <v>2</v>
      </c>
      <c r="D792" s="1">
        <v>10.072283432904419</v>
      </c>
      <c r="E792" s="1" t="s">
        <v>131</v>
      </c>
    </row>
    <row r="793" spans="1:5" x14ac:dyDescent="0.25">
      <c r="A793" s="2">
        <v>45716</v>
      </c>
      <c r="B793" s="1">
        <v>2025</v>
      </c>
      <c r="C793" s="1">
        <v>2</v>
      </c>
      <c r="D793" s="1">
        <v>64.895624999999995</v>
      </c>
      <c r="E793" s="1" t="s">
        <v>133</v>
      </c>
    </row>
    <row r="794" spans="1:5" x14ac:dyDescent="0.25">
      <c r="A794" s="2">
        <v>45717</v>
      </c>
      <c r="B794" s="1">
        <v>2025</v>
      </c>
      <c r="C794" s="1">
        <v>3</v>
      </c>
      <c r="D794" s="1">
        <v>31.103333333333332</v>
      </c>
      <c r="E794" s="1" t="s">
        <v>11</v>
      </c>
    </row>
    <row r="795" spans="1:5" x14ac:dyDescent="0.25">
      <c r="A795" s="2">
        <v>45717</v>
      </c>
      <c r="B795" s="1">
        <v>2025</v>
      </c>
      <c r="C795" s="1">
        <v>3</v>
      </c>
      <c r="D795" s="1">
        <v>19877</v>
      </c>
      <c r="E795" s="1" t="s">
        <v>8</v>
      </c>
    </row>
    <row r="796" spans="1:5" x14ac:dyDescent="0.25">
      <c r="A796" s="2">
        <v>45717</v>
      </c>
      <c r="B796" s="1">
        <v>2025</v>
      </c>
      <c r="C796" s="1">
        <v>3</v>
      </c>
      <c r="D796" s="1">
        <v>31.103333333333332</v>
      </c>
      <c r="E796" s="1" t="s">
        <v>11</v>
      </c>
    </row>
    <row r="797" spans="1:5" x14ac:dyDescent="0.25">
      <c r="A797" s="2">
        <v>45717</v>
      </c>
      <c r="B797" s="1">
        <v>2025</v>
      </c>
      <c r="C797" s="1">
        <v>3</v>
      </c>
      <c r="D797" s="1">
        <v>356</v>
      </c>
      <c r="E797" s="1" t="s">
        <v>9</v>
      </c>
    </row>
    <row r="798" spans="1:5" x14ac:dyDescent="0.25">
      <c r="A798" s="2">
        <v>45717</v>
      </c>
      <c r="B798" s="1">
        <v>2025</v>
      </c>
      <c r="C798" s="1">
        <v>3</v>
      </c>
      <c r="D798" s="1">
        <v>120.2645119047619</v>
      </c>
      <c r="E798" s="1" t="s">
        <v>10</v>
      </c>
    </row>
    <row r="799" spans="1:5" x14ac:dyDescent="0.25">
      <c r="A799" s="2">
        <v>45719</v>
      </c>
      <c r="B799" s="1">
        <v>2025</v>
      </c>
      <c r="C799" s="1">
        <v>3</v>
      </c>
      <c r="D799" s="1">
        <v>-107.52801120448191</v>
      </c>
      <c r="E799" s="1" t="s">
        <v>12</v>
      </c>
    </row>
    <row r="800" spans="1:5" x14ac:dyDescent="0.25">
      <c r="A800" s="2">
        <v>45723</v>
      </c>
      <c r="B800" s="1">
        <v>2025</v>
      </c>
      <c r="C800" s="1">
        <v>3</v>
      </c>
      <c r="D800" s="1">
        <v>19.4375</v>
      </c>
      <c r="E800" s="1" t="s">
        <v>134</v>
      </c>
    </row>
    <row r="801" spans="1:5" x14ac:dyDescent="0.25">
      <c r="A801" s="2">
        <v>45723</v>
      </c>
      <c r="B801" s="1">
        <v>2025</v>
      </c>
      <c r="C801" s="1">
        <v>3</v>
      </c>
      <c r="D801" s="1">
        <v>64.895749999999992</v>
      </c>
      <c r="E801" s="1" t="s">
        <v>133</v>
      </c>
    </row>
    <row r="802" spans="1:5" x14ac:dyDescent="0.25">
      <c r="A802" s="2">
        <v>45723</v>
      </c>
      <c r="B802" s="1">
        <v>2025</v>
      </c>
      <c r="C802" s="1">
        <v>3</v>
      </c>
      <c r="D802" s="1">
        <v>10.173954044117654</v>
      </c>
      <c r="E802" s="1" t="s">
        <v>131</v>
      </c>
    </row>
    <row r="803" spans="1:5" x14ac:dyDescent="0.25">
      <c r="A803" s="2">
        <v>45723</v>
      </c>
      <c r="B803" s="1">
        <v>2025</v>
      </c>
      <c r="C803" s="1">
        <v>3</v>
      </c>
      <c r="D803" s="1">
        <v>9453.1463657142831</v>
      </c>
      <c r="E803" s="1" t="s">
        <v>130</v>
      </c>
    </row>
    <row r="804" spans="1:5" x14ac:dyDescent="0.25">
      <c r="A804" s="2">
        <v>45723</v>
      </c>
      <c r="B804" s="1">
        <v>2025</v>
      </c>
      <c r="C804" s="1">
        <v>3</v>
      </c>
      <c r="D804" s="1">
        <v>67.916187500000007</v>
      </c>
      <c r="E804" s="1" t="s">
        <v>132</v>
      </c>
    </row>
    <row r="805" spans="1:5" x14ac:dyDescent="0.25">
      <c r="A805" s="2">
        <v>45723</v>
      </c>
      <c r="B805" s="1">
        <v>2025</v>
      </c>
      <c r="C805" s="1">
        <v>3</v>
      </c>
      <c r="D805" s="1">
        <v>380</v>
      </c>
      <c r="E805" s="1" t="s">
        <v>7</v>
      </c>
    </row>
    <row r="806" spans="1:5" x14ac:dyDescent="0.25">
      <c r="A806" s="2">
        <v>45723</v>
      </c>
      <c r="B806" s="1">
        <v>2025</v>
      </c>
      <c r="C806" s="1">
        <v>3</v>
      </c>
      <c r="D806" s="1">
        <v>26.5</v>
      </c>
      <c r="E806" s="1" t="s">
        <v>136</v>
      </c>
    </row>
    <row r="807" spans="1:5" x14ac:dyDescent="0.25">
      <c r="A807" s="2">
        <v>45723</v>
      </c>
      <c r="B807" s="1">
        <v>2025</v>
      </c>
      <c r="C807" s="1">
        <v>3</v>
      </c>
      <c r="D807" s="1">
        <v>59.65204</v>
      </c>
      <c r="E807" s="1" t="s">
        <v>5</v>
      </c>
    </row>
    <row r="808" spans="1:5" x14ac:dyDescent="0.25">
      <c r="A808" s="2">
        <v>45730</v>
      </c>
      <c r="B808" s="1">
        <v>2025</v>
      </c>
      <c r="C808" s="1">
        <v>3</v>
      </c>
      <c r="D808" s="1">
        <v>19.5625</v>
      </c>
      <c r="E808" s="1" t="s">
        <v>134</v>
      </c>
    </row>
    <row r="809" spans="1:5" x14ac:dyDescent="0.25">
      <c r="A809" s="2">
        <v>45730</v>
      </c>
      <c r="B809" s="1">
        <v>2025</v>
      </c>
      <c r="C809" s="1">
        <v>3</v>
      </c>
      <c r="D809" s="1">
        <v>10.188773828125006</v>
      </c>
      <c r="E809" s="1" t="s">
        <v>131</v>
      </c>
    </row>
    <row r="810" spans="1:5" x14ac:dyDescent="0.25">
      <c r="A810" s="2">
        <v>45730</v>
      </c>
      <c r="B810" s="1">
        <v>2025</v>
      </c>
      <c r="C810" s="1">
        <v>3</v>
      </c>
      <c r="D810" s="1">
        <v>26</v>
      </c>
      <c r="E810" s="1" t="s">
        <v>136</v>
      </c>
    </row>
    <row r="811" spans="1:5" x14ac:dyDescent="0.25">
      <c r="A811" s="2">
        <v>45730</v>
      </c>
      <c r="B811" s="1">
        <v>2025</v>
      </c>
      <c r="C811" s="1">
        <v>3</v>
      </c>
      <c r="D811" s="1">
        <v>59.807600000000001</v>
      </c>
      <c r="E811" s="1" t="s">
        <v>5</v>
      </c>
    </row>
    <row r="812" spans="1:5" x14ac:dyDescent="0.25">
      <c r="A812" s="2">
        <v>45730</v>
      </c>
      <c r="B812" s="1">
        <v>2025</v>
      </c>
      <c r="C812" s="1">
        <v>3</v>
      </c>
      <c r="D812" s="1">
        <v>8540.0977257142895</v>
      </c>
      <c r="E812" s="1" t="s">
        <v>130</v>
      </c>
    </row>
    <row r="813" spans="1:5" x14ac:dyDescent="0.25">
      <c r="A813" s="2">
        <v>45730</v>
      </c>
      <c r="B813" s="1">
        <v>2025</v>
      </c>
      <c r="C813" s="1">
        <v>3</v>
      </c>
      <c r="D813" s="1">
        <v>365</v>
      </c>
      <c r="E813" s="1" t="s">
        <v>7</v>
      </c>
    </row>
    <row r="814" spans="1:5" x14ac:dyDescent="0.25">
      <c r="A814" s="2">
        <v>45730</v>
      </c>
      <c r="B814" s="1">
        <v>2025</v>
      </c>
      <c r="C814" s="1">
        <v>3</v>
      </c>
      <c r="D814" s="1">
        <v>62.997500000000002</v>
      </c>
      <c r="E814" s="1" t="s">
        <v>133</v>
      </c>
    </row>
    <row r="815" spans="1:5" x14ac:dyDescent="0.25">
      <c r="A815" s="2">
        <v>45730</v>
      </c>
      <c r="B815" s="1">
        <v>2025</v>
      </c>
      <c r="C815" s="1">
        <v>3</v>
      </c>
      <c r="D815" s="1">
        <v>65.622499999999988</v>
      </c>
      <c r="E815" s="1" t="s">
        <v>132</v>
      </c>
    </row>
    <row r="816" spans="1:5" x14ac:dyDescent="0.25">
      <c r="A816" s="2">
        <v>45737</v>
      </c>
      <c r="B816" s="1">
        <v>2025</v>
      </c>
      <c r="C816" s="1">
        <v>3</v>
      </c>
      <c r="D816" s="1">
        <v>10.371091636029419</v>
      </c>
      <c r="E816" s="1" t="s">
        <v>131</v>
      </c>
    </row>
    <row r="817" spans="1:5" x14ac:dyDescent="0.25">
      <c r="A817" s="2">
        <v>45737</v>
      </c>
      <c r="B817" s="1">
        <v>2025</v>
      </c>
      <c r="C817" s="1">
        <v>3</v>
      </c>
      <c r="D817" s="1">
        <v>350</v>
      </c>
      <c r="E817" s="1" t="s">
        <v>7</v>
      </c>
    </row>
    <row r="818" spans="1:5" x14ac:dyDescent="0.25">
      <c r="A818" s="2">
        <v>45737</v>
      </c>
      <c r="B818" s="1">
        <v>2025</v>
      </c>
      <c r="C818" s="1">
        <v>3</v>
      </c>
      <c r="D818" s="1">
        <v>60.875999999999998</v>
      </c>
      <c r="E818" s="1" t="s">
        <v>5</v>
      </c>
    </row>
    <row r="819" spans="1:5" x14ac:dyDescent="0.25">
      <c r="A819" s="2">
        <v>45737</v>
      </c>
      <c r="B819" s="1">
        <v>2025</v>
      </c>
      <c r="C819" s="1">
        <v>3</v>
      </c>
      <c r="D819" s="1">
        <v>63.33</v>
      </c>
      <c r="E819" s="1" t="s">
        <v>132</v>
      </c>
    </row>
    <row r="820" spans="1:5" x14ac:dyDescent="0.25">
      <c r="A820" s="2">
        <v>45737</v>
      </c>
      <c r="B820" s="1">
        <v>2025</v>
      </c>
      <c r="C820" s="1">
        <v>3</v>
      </c>
      <c r="D820" s="1">
        <v>19.625</v>
      </c>
      <c r="E820" s="1" t="s">
        <v>134</v>
      </c>
    </row>
    <row r="821" spans="1:5" x14ac:dyDescent="0.25">
      <c r="A821" s="2">
        <v>45737</v>
      </c>
      <c r="B821" s="1">
        <v>2025</v>
      </c>
      <c r="C821" s="1">
        <v>3</v>
      </c>
      <c r="D821" s="1">
        <v>9154.0542857142846</v>
      </c>
      <c r="E821" s="1" t="s">
        <v>130</v>
      </c>
    </row>
    <row r="822" spans="1:5" x14ac:dyDescent="0.25">
      <c r="A822" s="2">
        <v>45737</v>
      </c>
      <c r="B822" s="1">
        <v>2025</v>
      </c>
      <c r="C822" s="1">
        <v>3</v>
      </c>
      <c r="D822" s="1">
        <v>26.666666666666668</v>
      </c>
      <c r="E822" s="1" t="s">
        <v>136</v>
      </c>
    </row>
    <row r="823" spans="1:5" x14ac:dyDescent="0.25">
      <c r="A823" s="2">
        <v>45737</v>
      </c>
      <c r="B823" s="1">
        <v>2025</v>
      </c>
      <c r="C823" s="1">
        <v>3</v>
      </c>
      <c r="D823" s="1">
        <v>62.808749999999996</v>
      </c>
      <c r="E823" s="1" t="s">
        <v>133</v>
      </c>
    </row>
    <row r="824" spans="1:5" x14ac:dyDescent="0.25">
      <c r="A824" s="2">
        <v>45744</v>
      </c>
      <c r="B824" s="1">
        <v>2025</v>
      </c>
      <c r="C824" s="1">
        <v>3</v>
      </c>
      <c r="D824" s="1">
        <v>10.371263959099272</v>
      </c>
      <c r="E824" s="1" t="s">
        <v>131</v>
      </c>
    </row>
    <row r="825" spans="1:5" x14ac:dyDescent="0.25">
      <c r="A825" s="2">
        <v>45744</v>
      </c>
      <c r="B825" s="1">
        <v>2025</v>
      </c>
      <c r="C825" s="1">
        <v>3</v>
      </c>
      <c r="D825" s="1">
        <v>340</v>
      </c>
      <c r="E825" s="1" t="s">
        <v>7</v>
      </c>
    </row>
    <row r="826" spans="1:5" x14ac:dyDescent="0.25">
      <c r="A826" s="2">
        <v>45744</v>
      </c>
      <c r="B826" s="1">
        <v>2025</v>
      </c>
      <c r="C826" s="1">
        <v>3</v>
      </c>
      <c r="D826" s="1">
        <v>26.716666666666665</v>
      </c>
      <c r="E826" s="1" t="s">
        <v>136</v>
      </c>
    </row>
    <row r="827" spans="1:5" x14ac:dyDescent="0.25">
      <c r="A827" s="2">
        <v>45744</v>
      </c>
      <c r="B827" s="1">
        <v>2025</v>
      </c>
      <c r="C827" s="1">
        <v>3</v>
      </c>
      <c r="D827" s="1">
        <v>63.018625</v>
      </c>
      <c r="E827" s="1" t="s">
        <v>132</v>
      </c>
    </row>
    <row r="828" spans="1:5" x14ac:dyDescent="0.25">
      <c r="A828" s="2">
        <v>45744</v>
      </c>
      <c r="B828" s="1">
        <v>2025</v>
      </c>
      <c r="C828" s="1">
        <v>3</v>
      </c>
      <c r="D828" s="1">
        <v>63.131599999999999</v>
      </c>
      <c r="E828" s="1" t="s">
        <v>5</v>
      </c>
    </row>
    <row r="829" spans="1:5" x14ac:dyDescent="0.25">
      <c r="A829" s="2">
        <v>45744</v>
      </c>
      <c r="B829" s="1">
        <v>2025</v>
      </c>
      <c r="C829" s="1">
        <v>3</v>
      </c>
      <c r="D829" s="1">
        <v>9019.830069047619</v>
      </c>
      <c r="E829" s="1" t="s">
        <v>130</v>
      </c>
    </row>
    <row r="830" spans="1:5" x14ac:dyDescent="0.25">
      <c r="A830" s="2">
        <v>45744</v>
      </c>
      <c r="B830" s="1">
        <v>2025</v>
      </c>
      <c r="C830" s="1">
        <v>3</v>
      </c>
      <c r="D830" s="1">
        <v>20.125</v>
      </c>
      <c r="E830" s="1" t="s">
        <v>134</v>
      </c>
    </row>
    <row r="831" spans="1:5" x14ac:dyDescent="0.25">
      <c r="A831" s="2">
        <v>45744</v>
      </c>
      <c r="B831" s="1">
        <v>2025</v>
      </c>
      <c r="C831" s="1">
        <v>3</v>
      </c>
      <c r="D831" s="1">
        <v>62.810999999999993</v>
      </c>
      <c r="E831" s="1" t="s">
        <v>133</v>
      </c>
    </row>
    <row r="832" spans="1:5" x14ac:dyDescent="0.25">
      <c r="A832" s="2">
        <v>45748</v>
      </c>
      <c r="B832" s="1">
        <v>2025</v>
      </c>
      <c r="C832" s="1">
        <v>4</v>
      </c>
      <c r="D832" s="1">
        <v>354</v>
      </c>
      <c r="E832" s="1" t="s">
        <v>9</v>
      </c>
    </row>
    <row r="833" spans="1:5" x14ac:dyDescent="0.25">
      <c r="A833" s="2">
        <v>45748</v>
      </c>
      <c r="B833" s="1">
        <v>2025</v>
      </c>
      <c r="C833" s="1">
        <v>4</v>
      </c>
      <c r="D833" s="1">
        <v>-116.33702538480259</v>
      </c>
      <c r="E833" s="1" t="s">
        <v>12</v>
      </c>
    </row>
    <row r="834" spans="1:5" x14ac:dyDescent="0.25">
      <c r="A834" s="2">
        <v>45748</v>
      </c>
      <c r="B834" s="1">
        <v>2025</v>
      </c>
      <c r="C834" s="1">
        <v>4</v>
      </c>
      <c r="D834" s="1">
        <v>106.03153246753246</v>
      </c>
      <c r="E834" s="1" t="s">
        <v>10</v>
      </c>
    </row>
    <row r="835" spans="1:5" x14ac:dyDescent="0.25">
      <c r="A835" s="2">
        <v>45748</v>
      </c>
      <c r="B835" s="1">
        <v>2025</v>
      </c>
      <c r="C835" s="1">
        <v>4</v>
      </c>
      <c r="D835" s="1">
        <v>90</v>
      </c>
      <c r="E835" s="1" t="s">
        <v>11</v>
      </c>
    </row>
    <row r="836" spans="1:5" x14ac:dyDescent="0.25">
      <c r="A836" s="2">
        <v>45748</v>
      </c>
      <c r="B836" s="1">
        <v>2025</v>
      </c>
      <c r="C836" s="1">
        <v>4</v>
      </c>
      <c r="D836" s="1">
        <v>19877</v>
      </c>
      <c r="E836" s="1" t="s">
        <v>8</v>
      </c>
    </row>
    <row r="837" spans="1:5" x14ac:dyDescent="0.25">
      <c r="A837" s="2">
        <v>45751</v>
      </c>
      <c r="B837" s="1">
        <v>2025</v>
      </c>
      <c r="C837" s="1">
        <v>4</v>
      </c>
      <c r="D837" s="1">
        <v>340</v>
      </c>
      <c r="E837" s="1" t="s">
        <v>7</v>
      </c>
    </row>
    <row r="838" spans="1:5" x14ac:dyDescent="0.25">
      <c r="A838" s="2">
        <v>45751</v>
      </c>
      <c r="B838" s="1">
        <v>2025</v>
      </c>
      <c r="C838" s="1">
        <v>4</v>
      </c>
      <c r="D838" s="1">
        <v>62.599999999999994</v>
      </c>
      <c r="E838" s="1" t="s">
        <v>133</v>
      </c>
    </row>
    <row r="839" spans="1:5" x14ac:dyDescent="0.25">
      <c r="A839" s="2">
        <v>45751</v>
      </c>
      <c r="B839" s="1">
        <v>2025</v>
      </c>
      <c r="C839" s="1">
        <v>4</v>
      </c>
      <c r="D839" s="1">
        <v>20.041666666666664</v>
      </c>
      <c r="E839" s="1" t="s">
        <v>134</v>
      </c>
    </row>
    <row r="840" spans="1:5" x14ac:dyDescent="0.25">
      <c r="A840" s="2">
        <v>45751</v>
      </c>
      <c r="B840" s="1">
        <v>2025</v>
      </c>
      <c r="C840" s="1">
        <v>4</v>
      </c>
      <c r="D840" s="1">
        <v>10.063667279411771</v>
      </c>
      <c r="E840" s="1" t="s">
        <v>131</v>
      </c>
    </row>
    <row r="841" spans="1:5" x14ac:dyDescent="0.25">
      <c r="A841" s="2">
        <v>45751</v>
      </c>
      <c r="B841" s="1">
        <v>2025</v>
      </c>
      <c r="C841" s="1">
        <v>4</v>
      </c>
      <c r="D841" s="1">
        <v>62.704999999999998</v>
      </c>
      <c r="E841" s="1" t="s">
        <v>132</v>
      </c>
    </row>
    <row r="842" spans="1:5" x14ac:dyDescent="0.25">
      <c r="A842" s="2">
        <v>45751</v>
      </c>
      <c r="B842" s="1">
        <v>2025</v>
      </c>
      <c r="C842" s="1">
        <v>4</v>
      </c>
      <c r="D842" s="1">
        <v>26.916666666666668</v>
      </c>
      <c r="E842" s="1" t="s">
        <v>136</v>
      </c>
    </row>
    <row r="843" spans="1:5" x14ac:dyDescent="0.25">
      <c r="A843" s="2">
        <v>45751</v>
      </c>
      <c r="B843" s="1">
        <v>2025</v>
      </c>
      <c r="C843" s="1">
        <v>4</v>
      </c>
      <c r="D843" s="1">
        <v>10567.391942424243</v>
      </c>
      <c r="E843" s="1" t="s">
        <v>130</v>
      </c>
    </row>
    <row r="844" spans="1:5" x14ac:dyDescent="0.25">
      <c r="A844" s="2">
        <v>45751</v>
      </c>
      <c r="B844" s="1">
        <v>2025</v>
      </c>
      <c r="C844" s="1">
        <v>4</v>
      </c>
      <c r="D844" s="1">
        <v>62.987422222222229</v>
      </c>
      <c r="E844" s="1" t="s">
        <v>5</v>
      </c>
    </row>
    <row r="845" spans="1:5" x14ac:dyDescent="0.25">
      <c r="A845" s="2">
        <v>45758</v>
      </c>
      <c r="B845" s="1">
        <v>2025</v>
      </c>
      <c r="C845" s="1">
        <v>4</v>
      </c>
      <c r="D845" s="1">
        <v>350</v>
      </c>
      <c r="E845" s="1" t="s">
        <v>7</v>
      </c>
    </row>
    <row r="846" spans="1:5" x14ac:dyDescent="0.25">
      <c r="A846" s="2">
        <v>45758</v>
      </c>
      <c r="B846" s="1">
        <v>2025</v>
      </c>
      <c r="C846" s="1">
        <v>4</v>
      </c>
      <c r="D846" s="1">
        <v>19.270833333333332</v>
      </c>
      <c r="E846" s="1" t="s">
        <v>134</v>
      </c>
    </row>
    <row r="847" spans="1:5" x14ac:dyDescent="0.25">
      <c r="A847" s="2">
        <v>45758</v>
      </c>
      <c r="B847" s="1">
        <v>2025</v>
      </c>
      <c r="C847" s="1">
        <v>4</v>
      </c>
      <c r="D847" s="1">
        <v>10193.143575757576</v>
      </c>
      <c r="E847" s="1" t="s">
        <v>130</v>
      </c>
    </row>
    <row r="848" spans="1:5" x14ac:dyDescent="0.25">
      <c r="A848" s="2">
        <v>45758</v>
      </c>
      <c r="B848" s="1">
        <v>2025</v>
      </c>
      <c r="C848" s="1">
        <v>4</v>
      </c>
      <c r="D848" s="1">
        <v>53.962999999999994</v>
      </c>
      <c r="E848" s="1" t="s">
        <v>5</v>
      </c>
    </row>
    <row r="849" spans="1:5" x14ac:dyDescent="0.25">
      <c r="A849" s="2">
        <v>45758</v>
      </c>
      <c r="B849" s="1">
        <v>2025</v>
      </c>
      <c r="C849" s="1">
        <v>4</v>
      </c>
      <c r="D849" s="1">
        <v>9.7414231387867698</v>
      </c>
      <c r="E849" s="1" t="s">
        <v>131</v>
      </c>
    </row>
    <row r="850" spans="1:5" x14ac:dyDescent="0.25">
      <c r="A850" s="2">
        <v>45758</v>
      </c>
      <c r="B850" s="1">
        <v>2025</v>
      </c>
      <c r="C850" s="1">
        <v>4</v>
      </c>
      <c r="D850" s="1">
        <v>26.916666666666668</v>
      </c>
      <c r="E850" s="1" t="s">
        <v>136</v>
      </c>
    </row>
    <row r="851" spans="1:5" x14ac:dyDescent="0.25">
      <c r="A851" s="2">
        <v>45758</v>
      </c>
      <c r="B851" s="1">
        <v>2025</v>
      </c>
      <c r="C851" s="1">
        <v>4</v>
      </c>
      <c r="D851" s="1">
        <v>61.454999999999998</v>
      </c>
      <c r="E851" s="1" t="s">
        <v>132</v>
      </c>
    </row>
    <row r="852" spans="1:5" x14ac:dyDescent="0.25">
      <c r="A852" s="2">
        <v>45758</v>
      </c>
      <c r="B852" s="1">
        <v>2025</v>
      </c>
      <c r="C852" s="1">
        <v>4</v>
      </c>
      <c r="D852" s="1">
        <v>62.183749999999996</v>
      </c>
      <c r="E852" s="1" t="s">
        <v>133</v>
      </c>
    </row>
    <row r="853" spans="1:5" x14ac:dyDescent="0.25">
      <c r="A853" s="2">
        <v>45762</v>
      </c>
      <c r="B853" s="1">
        <v>2025</v>
      </c>
      <c r="C853" s="1">
        <v>4</v>
      </c>
      <c r="D853" s="1">
        <v>90</v>
      </c>
      <c r="E853" s="1" t="s">
        <v>11</v>
      </c>
    </row>
    <row r="854" spans="1:5" x14ac:dyDescent="0.25">
      <c r="A854" s="2">
        <v>45765</v>
      </c>
      <c r="B854" s="1">
        <v>2025</v>
      </c>
      <c r="C854" s="1">
        <v>4</v>
      </c>
      <c r="D854" s="1">
        <v>350</v>
      </c>
      <c r="E854" s="1" t="s">
        <v>7</v>
      </c>
    </row>
    <row r="855" spans="1:5" x14ac:dyDescent="0.25">
      <c r="A855" s="2">
        <v>45765</v>
      </c>
      <c r="B855" s="1">
        <v>2025</v>
      </c>
      <c r="C855" s="1">
        <v>4</v>
      </c>
      <c r="D855" s="1">
        <v>19.6875</v>
      </c>
      <c r="E855" s="1" t="s">
        <v>134</v>
      </c>
    </row>
    <row r="856" spans="1:5" x14ac:dyDescent="0.25">
      <c r="A856" s="2">
        <v>45765</v>
      </c>
      <c r="B856" s="1">
        <v>2025</v>
      </c>
      <c r="C856" s="1">
        <v>4</v>
      </c>
      <c r="D856" s="1">
        <v>26.916666666666664</v>
      </c>
      <c r="E856" s="1" t="s">
        <v>136</v>
      </c>
    </row>
    <row r="857" spans="1:5" x14ac:dyDescent="0.25">
      <c r="A857" s="2">
        <v>45765</v>
      </c>
      <c r="B857" s="1">
        <v>2025</v>
      </c>
      <c r="C857" s="1">
        <v>4</v>
      </c>
      <c r="D857" s="1">
        <v>63.541666666666664</v>
      </c>
      <c r="E857" s="1" t="s">
        <v>133</v>
      </c>
    </row>
    <row r="858" spans="1:5" x14ac:dyDescent="0.25">
      <c r="A858" s="2">
        <v>45765</v>
      </c>
      <c r="B858" s="1">
        <v>2025</v>
      </c>
      <c r="C858" s="1">
        <v>4</v>
      </c>
      <c r="D858" s="1">
        <v>9.3947984749455404</v>
      </c>
      <c r="E858" s="1" t="s">
        <v>131</v>
      </c>
    </row>
    <row r="859" spans="1:5" x14ac:dyDescent="0.25">
      <c r="A859" s="2">
        <v>45765</v>
      </c>
      <c r="B859" s="1">
        <v>2025</v>
      </c>
      <c r="C859" s="1">
        <v>4</v>
      </c>
      <c r="D859" s="1">
        <v>56.652950000000004</v>
      </c>
      <c r="E859" s="1" t="s">
        <v>5</v>
      </c>
    </row>
    <row r="860" spans="1:5" x14ac:dyDescent="0.25">
      <c r="A860" s="2">
        <v>45765</v>
      </c>
      <c r="B860" s="1">
        <v>2025</v>
      </c>
      <c r="C860" s="1">
        <v>4</v>
      </c>
      <c r="D860" s="1">
        <v>9799.1159090909077</v>
      </c>
      <c r="E860" s="1" t="s">
        <v>130</v>
      </c>
    </row>
    <row r="861" spans="1:5" x14ac:dyDescent="0.25">
      <c r="A861" s="2">
        <v>45765</v>
      </c>
      <c r="B861" s="1">
        <v>2025</v>
      </c>
      <c r="C861" s="1">
        <v>4</v>
      </c>
      <c r="D861" s="1">
        <v>59.3125</v>
      </c>
      <c r="E861" s="1" t="s">
        <v>132</v>
      </c>
    </row>
    <row r="862" spans="1:5" x14ac:dyDescent="0.25">
      <c r="A862" s="2">
        <v>45772</v>
      </c>
      <c r="B862" s="1">
        <v>2025</v>
      </c>
      <c r="C862" s="1">
        <v>4</v>
      </c>
      <c r="D862" s="1">
        <v>350</v>
      </c>
      <c r="E862" s="1" t="s">
        <v>7</v>
      </c>
    </row>
    <row r="863" spans="1:5" x14ac:dyDescent="0.25">
      <c r="A863" s="2">
        <v>45772</v>
      </c>
      <c r="B863" s="1">
        <v>2025</v>
      </c>
      <c r="C863" s="1">
        <v>4</v>
      </c>
      <c r="D863" s="1">
        <v>19.125</v>
      </c>
      <c r="E863" s="1" t="s">
        <v>134</v>
      </c>
    </row>
    <row r="864" spans="1:5" x14ac:dyDescent="0.25">
      <c r="A864" s="2">
        <v>45772</v>
      </c>
      <c r="B864" s="1">
        <v>2025</v>
      </c>
      <c r="C864" s="1">
        <v>4</v>
      </c>
      <c r="D864" s="1">
        <v>10372.538459090907</v>
      </c>
      <c r="E864" s="1" t="s">
        <v>130</v>
      </c>
    </row>
    <row r="865" spans="1:5" x14ac:dyDescent="0.25">
      <c r="A865" s="2">
        <v>45772</v>
      </c>
      <c r="B865" s="1">
        <v>2025</v>
      </c>
      <c r="C865" s="1">
        <v>4</v>
      </c>
      <c r="D865" s="1">
        <v>59.583333333333336</v>
      </c>
      <c r="E865" s="1" t="s">
        <v>132</v>
      </c>
    </row>
    <row r="866" spans="1:5" x14ac:dyDescent="0.25">
      <c r="A866" s="2">
        <v>45772</v>
      </c>
      <c r="B866" s="1">
        <v>2025</v>
      </c>
      <c r="C866" s="1">
        <v>4</v>
      </c>
      <c r="D866" s="1">
        <v>26.916666666666668</v>
      </c>
      <c r="E866" s="1" t="s">
        <v>136</v>
      </c>
    </row>
    <row r="867" spans="1:5" x14ac:dyDescent="0.25">
      <c r="A867" s="2">
        <v>45772</v>
      </c>
      <c r="B867" s="1">
        <v>2025</v>
      </c>
      <c r="C867" s="1">
        <v>4</v>
      </c>
      <c r="D867" s="1">
        <v>56.877499999999998</v>
      </c>
      <c r="E867" s="1" t="s">
        <v>5</v>
      </c>
    </row>
    <row r="868" spans="1:5" x14ac:dyDescent="0.25">
      <c r="A868" s="2">
        <v>45772</v>
      </c>
      <c r="B868" s="1">
        <v>2025</v>
      </c>
      <c r="C868" s="1">
        <v>4</v>
      </c>
      <c r="D868" s="1">
        <v>9.3775661679602464</v>
      </c>
      <c r="E868" s="1" t="s">
        <v>131</v>
      </c>
    </row>
    <row r="869" spans="1:5" x14ac:dyDescent="0.25">
      <c r="A869" s="2">
        <v>45772</v>
      </c>
      <c r="B869" s="1">
        <v>2025</v>
      </c>
      <c r="C869" s="1">
        <v>4</v>
      </c>
      <c r="D869" s="1">
        <v>63.75</v>
      </c>
      <c r="E869" s="1" t="s">
        <v>133</v>
      </c>
    </row>
    <row r="870" spans="1:5" x14ac:dyDescent="0.25">
      <c r="A870" s="2">
        <v>45777</v>
      </c>
      <c r="B870" s="1">
        <v>2025</v>
      </c>
      <c r="C870" s="1">
        <v>4</v>
      </c>
      <c r="D870" s="1">
        <v>134.38483333333335</v>
      </c>
      <c r="E870" s="1" t="s">
        <v>11</v>
      </c>
    </row>
    <row r="871" spans="1:5" x14ac:dyDescent="0.25">
      <c r="A871" s="2">
        <v>45778</v>
      </c>
      <c r="B871" s="1">
        <v>2025</v>
      </c>
      <c r="C871" s="1">
        <v>5</v>
      </c>
      <c r="D871" s="1">
        <v>336</v>
      </c>
      <c r="E871" s="1" t="s">
        <v>9</v>
      </c>
    </row>
    <row r="872" spans="1:5" x14ac:dyDescent="0.25">
      <c r="A872" s="2">
        <v>45778</v>
      </c>
      <c r="B872" s="1">
        <v>2025</v>
      </c>
      <c r="C872" s="1">
        <v>5</v>
      </c>
      <c r="D872" s="1">
        <v>19377</v>
      </c>
      <c r="E872" s="1" t="s">
        <v>8</v>
      </c>
    </row>
    <row r="873" spans="1:5" x14ac:dyDescent="0.25">
      <c r="A873" s="2">
        <v>45778</v>
      </c>
      <c r="B873" s="1">
        <v>2025</v>
      </c>
      <c r="C873" s="1">
        <v>5</v>
      </c>
      <c r="D873" s="1">
        <v>101.39202786377709</v>
      </c>
      <c r="E873" s="1" t="s">
        <v>10</v>
      </c>
    </row>
    <row r="874" spans="1:5" x14ac:dyDescent="0.25">
      <c r="A874" s="2">
        <v>45779</v>
      </c>
      <c r="B874" s="1">
        <v>2025</v>
      </c>
      <c r="C874" s="1">
        <v>5</v>
      </c>
      <c r="D874" s="1">
        <v>9.026218575537861</v>
      </c>
      <c r="E874" s="1" t="s">
        <v>131</v>
      </c>
    </row>
    <row r="875" spans="1:5" x14ac:dyDescent="0.25">
      <c r="A875" s="2">
        <v>45779</v>
      </c>
      <c r="B875" s="1">
        <v>2025</v>
      </c>
      <c r="C875" s="1">
        <v>5</v>
      </c>
      <c r="D875" s="1">
        <v>58.229166666666671</v>
      </c>
      <c r="E875" s="1" t="s">
        <v>132</v>
      </c>
    </row>
    <row r="876" spans="1:5" x14ac:dyDescent="0.25">
      <c r="A876" s="2">
        <v>45779</v>
      </c>
      <c r="B876" s="1">
        <v>2025</v>
      </c>
      <c r="C876" s="1">
        <v>5</v>
      </c>
      <c r="D876" s="1">
        <v>19.125</v>
      </c>
      <c r="E876" s="1" t="s">
        <v>134</v>
      </c>
    </row>
    <row r="877" spans="1:5" x14ac:dyDescent="0.25">
      <c r="A877" s="2">
        <v>45779</v>
      </c>
      <c r="B877" s="1">
        <v>2025</v>
      </c>
      <c r="C877" s="1">
        <v>5</v>
      </c>
      <c r="D877" s="1">
        <v>9880.4726090909116</v>
      </c>
      <c r="E877" s="1" t="s">
        <v>130</v>
      </c>
    </row>
    <row r="878" spans="1:5" x14ac:dyDescent="0.25">
      <c r="A878" s="2">
        <v>45779</v>
      </c>
      <c r="B878" s="1">
        <v>2025</v>
      </c>
      <c r="C878" s="1">
        <v>5</v>
      </c>
      <c r="D878" s="1">
        <v>53.134500000000003</v>
      </c>
      <c r="E878" s="1" t="s">
        <v>5</v>
      </c>
    </row>
    <row r="879" spans="1:5" x14ac:dyDescent="0.25">
      <c r="A879" s="2">
        <v>45779</v>
      </c>
      <c r="B879" s="1">
        <v>2025</v>
      </c>
      <c r="C879" s="1">
        <v>5</v>
      </c>
      <c r="D879" s="1">
        <v>63.125</v>
      </c>
      <c r="E879" s="1" t="s">
        <v>133</v>
      </c>
    </row>
    <row r="880" spans="1:5" x14ac:dyDescent="0.25">
      <c r="A880" s="2">
        <v>45779</v>
      </c>
      <c r="B880" s="1">
        <v>2025</v>
      </c>
      <c r="C880" s="1">
        <v>5</v>
      </c>
      <c r="D880" s="1">
        <v>26.916666666666668</v>
      </c>
      <c r="E880" s="1" t="s">
        <v>136</v>
      </c>
    </row>
    <row r="881" spans="1:5" x14ac:dyDescent="0.25">
      <c r="A881" s="2">
        <v>45782</v>
      </c>
      <c r="B881" s="1">
        <v>2025</v>
      </c>
      <c r="C881" s="1">
        <v>5</v>
      </c>
      <c r="D881" s="1">
        <v>-213.82037118605729</v>
      </c>
      <c r="E881" s="1" t="s">
        <v>12</v>
      </c>
    </row>
    <row r="882" spans="1:5" x14ac:dyDescent="0.25">
      <c r="A882" s="2">
        <v>45786</v>
      </c>
      <c r="B882" s="1">
        <v>2025</v>
      </c>
      <c r="C882" s="1">
        <v>5</v>
      </c>
      <c r="D882" s="1">
        <v>8.6100902735226086</v>
      </c>
      <c r="E882" s="1" t="s">
        <v>131</v>
      </c>
    </row>
    <row r="883" spans="1:5" x14ac:dyDescent="0.25">
      <c r="A883" s="2">
        <v>45786</v>
      </c>
      <c r="B883" s="1">
        <v>2025</v>
      </c>
      <c r="C883" s="1">
        <v>5</v>
      </c>
      <c r="D883" s="1">
        <v>54.583333333333329</v>
      </c>
      <c r="E883" s="1" t="s">
        <v>132</v>
      </c>
    </row>
    <row r="884" spans="1:5" x14ac:dyDescent="0.25">
      <c r="A884" s="2">
        <v>45786</v>
      </c>
      <c r="B884" s="1">
        <v>2025</v>
      </c>
      <c r="C884" s="1">
        <v>5</v>
      </c>
      <c r="D884" s="1">
        <v>27.333333333333332</v>
      </c>
      <c r="E884" s="1" t="s">
        <v>136</v>
      </c>
    </row>
    <row r="885" spans="1:5" x14ac:dyDescent="0.25">
      <c r="A885" s="2">
        <v>45786</v>
      </c>
      <c r="B885" s="1">
        <v>2025</v>
      </c>
      <c r="C885" s="1">
        <v>5</v>
      </c>
      <c r="D885" s="1">
        <v>19.125</v>
      </c>
      <c r="E885" s="1" t="s">
        <v>134</v>
      </c>
    </row>
    <row r="886" spans="1:5" x14ac:dyDescent="0.25">
      <c r="A886" s="2">
        <v>45786</v>
      </c>
      <c r="B886" s="1">
        <v>2025</v>
      </c>
      <c r="C886" s="1">
        <v>5</v>
      </c>
      <c r="D886" s="1">
        <v>51.935400000000001</v>
      </c>
      <c r="E886" s="1" t="s">
        <v>5</v>
      </c>
    </row>
    <row r="887" spans="1:5" x14ac:dyDescent="0.25">
      <c r="A887" s="2">
        <v>45786</v>
      </c>
      <c r="B887" s="1">
        <v>2025</v>
      </c>
      <c r="C887" s="1">
        <v>5</v>
      </c>
      <c r="D887" s="1">
        <v>62.4</v>
      </c>
      <c r="E887" s="1" t="s">
        <v>133</v>
      </c>
    </row>
    <row r="888" spans="1:5" x14ac:dyDescent="0.25">
      <c r="A888" s="2">
        <v>45786</v>
      </c>
      <c r="B888" s="1">
        <v>2025</v>
      </c>
      <c r="C888" s="1">
        <v>5</v>
      </c>
      <c r="D888" s="1">
        <v>9664.7338090909088</v>
      </c>
      <c r="E888" s="1" t="s">
        <v>130</v>
      </c>
    </row>
    <row r="889" spans="1:5" x14ac:dyDescent="0.25">
      <c r="A889" s="2">
        <v>45792</v>
      </c>
      <c r="B889" s="1">
        <v>2025</v>
      </c>
      <c r="C889" s="1">
        <v>5</v>
      </c>
      <c r="D889" s="1">
        <v>118.22399999999999</v>
      </c>
      <c r="E889" s="1" t="s">
        <v>11</v>
      </c>
    </row>
    <row r="890" spans="1:5" x14ac:dyDescent="0.25">
      <c r="A890" s="2">
        <v>45793</v>
      </c>
      <c r="B890" s="1">
        <v>2025</v>
      </c>
      <c r="C890" s="1">
        <v>5</v>
      </c>
      <c r="D890" s="1">
        <v>7.357556849128545</v>
      </c>
      <c r="E890" s="1" t="s">
        <v>131</v>
      </c>
    </row>
    <row r="891" spans="1:5" x14ac:dyDescent="0.25">
      <c r="A891" s="2">
        <v>45793</v>
      </c>
      <c r="B891" s="1">
        <v>2025</v>
      </c>
      <c r="C891" s="1">
        <v>5</v>
      </c>
      <c r="D891" s="1">
        <v>62.454166666666666</v>
      </c>
      <c r="E891" s="1" t="s">
        <v>133</v>
      </c>
    </row>
    <row r="892" spans="1:5" x14ac:dyDescent="0.25">
      <c r="A892" s="2">
        <v>45793</v>
      </c>
      <c r="B892" s="1">
        <v>2025</v>
      </c>
      <c r="C892" s="1">
        <v>5</v>
      </c>
      <c r="D892" s="1">
        <v>9813.7666257575747</v>
      </c>
      <c r="E892" s="1" t="s">
        <v>130</v>
      </c>
    </row>
    <row r="893" spans="1:5" x14ac:dyDescent="0.25">
      <c r="A893" s="2">
        <v>45793</v>
      </c>
      <c r="B893" s="1">
        <v>2025</v>
      </c>
      <c r="C893" s="1">
        <v>5</v>
      </c>
      <c r="D893" s="1">
        <v>347.5</v>
      </c>
      <c r="E893" s="1" t="s">
        <v>7</v>
      </c>
    </row>
    <row r="894" spans="1:5" x14ac:dyDescent="0.25">
      <c r="A894" s="2">
        <v>45793</v>
      </c>
      <c r="B894" s="1">
        <v>2025</v>
      </c>
      <c r="C894" s="1">
        <v>5</v>
      </c>
      <c r="D894" s="1">
        <v>53.125</v>
      </c>
      <c r="E894" s="1" t="s">
        <v>132</v>
      </c>
    </row>
    <row r="895" spans="1:5" x14ac:dyDescent="0.25">
      <c r="A895" s="2">
        <v>45793</v>
      </c>
      <c r="B895" s="1">
        <v>2025</v>
      </c>
      <c r="C895" s="1">
        <v>5</v>
      </c>
      <c r="D895" s="1">
        <v>27</v>
      </c>
      <c r="E895" s="1" t="s">
        <v>136</v>
      </c>
    </row>
    <row r="896" spans="1:5" x14ac:dyDescent="0.25">
      <c r="A896" s="2">
        <v>45793</v>
      </c>
      <c r="B896" s="1">
        <v>2025</v>
      </c>
      <c r="C896" s="1">
        <v>5</v>
      </c>
      <c r="D896" s="1">
        <v>54.693733333333341</v>
      </c>
      <c r="E896" s="1" t="s">
        <v>5</v>
      </c>
    </row>
    <row r="897" spans="1:5" x14ac:dyDescent="0.25">
      <c r="A897" s="2">
        <v>45793</v>
      </c>
      <c r="B897" s="1">
        <v>2025</v>
      </c>
      <c r="C897" s="1">
        <v>5</v>
      </c>
      <c r="D897" s="1">
        <v>18.5</v>
      </c>
      <c r="E897" s="1" t="s">
        <v>134</v>
      </c>
    </row>
    <row r="898" spans="1:5" x14ac:dyDescent="0.25">
      <c r="A898" s="2">
        <v>45800</v>
      </c>
      <c r="B898" s="1">
        <v>2025</v>
      </c>
      <c r="C898" s="1">
        <v>5</v>
      </c>
      <c r="D898" s="1">
        <v>8.5268007897603546</v>
      </c>
      <c r="E898" s="1" t="s">
        <v>131</v>
      </c>
    </row>
    <row r="899" spans="1:5" x14ac:dyDescent="0.25">
      <c r="A899" s="2">
        <v>45800</v>
      </c>
      <c r="B899" s="1">
        <v>2025</v>
      </c>
      <c r="C899" s="1">
        <v>5</v>
      </c>
      <c r="D899" s="1">
        <v>9524.7720424242452</v>
      </c>
      <c r="E899" s="1" t="s">
        <v>130</v>
      </c>
    </row>
    <row r="900" spans="1:5" x14ac:dyDescent="0.25">
      <c r="A900" s="2">
        <v>45800</v>
      </c>
      <c r="B900" s="1">
        <v>2025</v>
      </c>
      <c r="C900" s="1">
        <v>5</v>
      </c>
      <c r="D900" s="1">
        <v>54.770347999999998</v>
      </c>
      <c r="E900" s="1" t="s">
        <v>5</v>
      </c>
    </row>
    <row r="901" spans="1:5" x14ac:dyDescent="0.25">
      <c r="A901" s="2">
        <v>45800</v>
      </c>
      <c r="B901" s="1">
        <v>2025</v>
      </c>
      <c r="C901" s="1">
        <v>5</v>
      </c>
      <c r="D901" s="1">
        <v>17.833333333333332</v>
      </c>
      <c r="E901" s="1" t="s">
        <v>134</v>
      </c>
    </row>
    <row r="902" spans="1:5" x14ac:dyDescent="0.25">
      <c r="A902" s="2">
        <v>45800</v>
      </c>
      <c r="B902" s="1">
        <v>2025</v>
      </c>
      <c r="C902" s="1">
        <v>5</v>
      </c>
      <c r="D902" s="1">
        <v>347.5</v>
      </c>
      <c r="E902" s="1" t="s">
        <v>7</v>
      </c>
    </row>
    <row r="903" spans="1:5" x14ac:dyDescent="0.25">
      <c r="A903" s="2">
        <v>45800</v>
      </c>
      <c r="B903" s="1">
        <v>2025</v>
      </c>
      <c r="C903" s="1">
        <v>5</v>
      </c>
      <c r="D903" s="1">
        <v>26.333333333333336</v>
      </c>
      <c r="E903" s="1" t="s">
        <v>136</v>
      </c>
    </row>
    <row r="904" spans="1:5" x14ac:dyDescent="0.25">
      <c r="A904" s="2">
        <v>45800</v>
      </c>
      <c r="B904" s="1">
        <v>2025</v>
      </c>
      <c r="C904" s="1">
        <v>5</v>
      </c>
      <c r="D904" s="1">
        <v>59.166666666666664</v>
      </c>
      <c r="E904" s="1" t="s">
        <v>132</v>
      </c>
    </row>
    <row r="905" spans="1:5" x14ac:dyDescent="0.25">
      <c r="A905" s="2">
        <v>45800</v>
      </c>
      <c r="B905" s="1">
        <v>2025</v>
      </c>
      <c r="C905" s="1">
        <v>5</v>
      </c>
      <c r="D905" s="1">
        <v>62.916666666666657</v>
      </c>
      <c r="E905" s="1" t="s">
        <v>133</v>
      </c>
    </row>
    <row r="906" spans="1:5" x14ac:dyDescent="0.25">
      <c r="A906" s="2">
        <v>45807</v>
      </c>
      <c r="B906" s="1">
        <v>2025</v>
      </c>
      <c r="C906" s="1">
        <v>5</v>
      </c>
      <c r="D906" s="1">
        <v>9440.3990590909107</v>
      </c>
      <c r="E906" s="1" t="s">
        <v>130</v>
      </c>
    </row>
    <row r="907" spans="1:5" x14ac:dyDescent="0.25">
      <c r="A907" s="2">
        <v>45807</v>
      </c>
      <c r="B907" s="1">
        <v>2025</v>
      </c>
      <c r="C907" s="1">
        <v>5</v>
      </c>
      <c r="D907" s="1">
        <v>25.666666666666664</v>
      </c>
      <c r="E907" s="1" t="s">
        <v>136</v>
      </c>
    </row>
    <row r="908" spans="1:5" x14ac:dyDescent="0.25">
      <c r="A908" s="2">
        <v>45807</v>
      </c>
      <c r="B908" s="1">
        <v>2025</v>
      </c>
      <c r="C908" s="1">
        <v>5</v>
      </c>
      <c r="D908" s="1">
        <v>18</v>
      </c>
      <c r="E908" s="1" t="s">
        <v>134</v>
      </c>
    </row>
    <row r="909" spans="1:5" x14ac:dyDescent="0.25">
      <c r="A909" s="2">
        <v>45807</v>
      </c>
      <c r="B909" s="1">
        <v>2025</v>
      </c>
      <c r="C909" s="1">
        <v>5</v>
      </c>
      <c r="D909" s="1">
        <v>62.375</v>
      </c>
      <c r="E909" s="1" t="s">
        <v>133</v>
      </c>
    </row>
    <row r="910" spans="1:5" x14ac:dyDescent="0.25">
      <c r="A910" s="2">
        <v>45807</v>
      </c>
      <c r="B910" s="1">
        <v>2025</v>
      </c>
      <c r="C910" s="1">
        <v>5</v>
      </c>
      <c r="D910" s="1">
        <v>7.972175798270702</v>
      </c>
      <c r="E910" s="1" t="s">
        <v>131</v>
      </c>
    </row>
    <row r="911" spans="1:5" x14ac:dyDescent="0.25">
      <c r="A911" s="2">
        <v>45807</v>
      </c>
      <c r="B911" s="1">
        <v>2025</v>
      </c>
      <c r="C911" s="1">
        <v>5</v>
      </c>
      <c r="D911" s="1">
        <v>111.8032</v>
      </c>
      <c r="E911" s="1" t="s">
        <v>11</v>
      </c>
    </row>
    <row r="912" spans="1:5" x14ac:dyDescent="0.25">
      <c r="A912" s="2">
        <v>45807</v>
      </c>
      <c r="B912" s="1">
        <v>2025</v>
      </c>
      <c r="C912" s="1">
        <v>5</v>
      </c>
      <c r="D912" s="1">
        <v>355</v>
      </c>
      <c r="E912" s="1" t="s">
        <v>7</v>
      </c>
    </row>
    <row r="913" spans="1:5" x14ac:dyDescent="0.25">
      <c r="A913" s="2">
        <v>45807</v>
      </c>
      <c r="B913" s="1">
        <v>2025</v>
      </c>
      <c r="C913" s="1">
        <v>5</v>
      </c>
      <c r="D913" s="1">
        <v>58.125</v>
      </c>
      <c r="E913" s="1" t="s">
        <v>132</v>
      </c>
    </row>
    <row r="914" spans="1:5" x14ac:dyDescent="0.25">
      <c r="A914" s="2">
        <v>45807</v>
      </c>
      <c r="B914" s="1">
        <v>2025</v>
      </c>
      <c r="C914" s="1">
        <v>5</v>
      </c>
      <c r="D914" s="1">
        <v>54.313945000000004</v>
      </c>
      <c r="E914" s="1" t="s">
        <v>5</v>
      </c>
    </row>
    <row r="915" spans="1:5" x14ac:dyDescent="0.25">
      <c r="A915" s="2">
        <v>45809</v>
      </c>
      <c r="B915" s="1">
        <v>2025</v>
      </c>
      <c r="C915" s="1">
        <v>6</v>
      </c>
      <c r="D915" s="1">
        <v>18377</v>
      </c>
      <c r="E915" s="1" t="s">
        <v>8</v>
      </c>
    </row>
    <row r="916" spans="1:5" x14ac:dyDescent="0.25">
      <c r="A916" s="2">
        <v>45809</v>
      </c>
      <c r="B916" s="1">
        <v>2025</v>
      </c>
      <c r="C916" s="1">
        <v>6</v>
      </c>
      <c r="D916" s="1">
        <v>88.627673133318297</v>
      </c>
      <c r="E916" s="1" t="s">
        <v>10</v>
      </c>
    </row>
    <row r="917" spans="1:5" x14ac:dyDescent="0.25">
      <c r="A917" s="2">
        <v>45809</v>
      </c>
      <c r="B917" s="1">
        <v>2025</v>
      </c>
      <c r="C917" s="1">
        <v>6</v>
      </c>
      <c r="D917" s="1">
        <v>319</v>
      </c>
      <c r="E917" s="1" t="s">
        <v>9</v>
      </c>
    </row>
    <row r="918" spans="1:5" x14ac:dyDescent="0.25">
      <c r="A918" s="2">
        <v>45810</v>
      </c>
      <c r="B918" s="1">
        <v>2025</v>
      </c>
      <c r="C918" s="1">
        <v>6</v>
      </c>
      <c r="D918" s="1">
        <v>-201.82290993971878</v>
      </c>
      <c r="E918" s="1" t="s">
        <v>12</v>
      </c>
    </row>
    <row r="919" spans="1:5" x14ac:dyDescent="0.25">
      <c r="A919" s="2">
        <v>45814</v>
      </c>
      <c r="B919" s="1">
        <v>2025</v>
      </c>
      <c r="C919" s="1">
        <v>6</v>
      </c>
      <c r="D919" s="1">
        <v>18.25</v>
      </c>
      <c r="E919" s="1" t="s">
        <v>134</v>
      </c>
    </row>
    <row r="920" spans="1:5" x14ac:dyDescent="0.25">
      <c r="A920" s="2">
        <v>45814</v>
      </c>
      <c r="B920" s="1">
        <v>2025</v>
      </c>
      <c r="C920" s="1">
        <v>6</v>
      </c>
      <c r="D920" s="1">
        <v>57.080744999999993</v>
      </c>
      <c r="E920" s="1" t="s">
        <v>5</v>
      </c>
    </row>
    <row r="921" spans="1:5" x14ac:dyDescent="0.25">
      <c r="A921" s="2">
        <v>45814</v>
      </c>
      <c r="B921" s="1">
        <v>2025</v>
      </c>
      <c r="C921" s="1">
        <v>6</v>
      </c>
      <c r="D921" s="1">
        <v>9708.4079590909114</v>
      </c>
      <c r="E921" s="1" t="s">
        <v>130</v>
      </c>
    </row>
    <row r="922" spans="1:5" x14ac:dyDescent="0.25">
      <c r="A922" s="2">
        <v>45814</v>
      </c>
      <c r="B922" s="1">
        <v>2025</v>
      </c>
      <c r="C922" s="1">
        <v>6</v>
      </c>
      <c r="D922" s="1">
        <v>25.666666666666664</v>
      </c>
      <c r="E922" s="1" t="s">
        <v>136</v>
      </c>
    </row>
    <row r="923" spans="1:5" x14ac:dyDescent="0.25">
      <c r="A923" s="2">
        <v>45814</v>
      </c>
      <c r="B923" s="1">
        <v>2025</v>
      </c>
      <c r="C923" s="1">
        <v>6</v>
      </c>
      <c r="D923" s="1">
        <v>61.145833333333329</v>
      </c>
      <c r="E923" s="1" t="s">
        <v>132</v>
      </c>
    </row>
    <row r="924" spans="1:5" x14ac:dyDescent="0.25">
      <c r="A924" s="2">
        <v>45814</v>
      </c>
      <c r="B924" s="1">
        <v>2025</v>
      </c>
      <c r="C924" s="1">
        <v>6</v>
      </c>
      <c r="D924" s="1">
        <v>8.0238727192265848</v>
      </c>
      <c r="E924" s="1" t="s">
        <v>131</v>
      </c>
    </row>
    <row r="925" spans="1:5" x14ac:dyDescent="0.25">
      <c r="A925" s="2">
        <v>45814</v>
      </c>
      <c r="B925" s="1">
        <v>2025</v>
      </c>
      <c r="C925" s="1">
        <v>6</v>
      </c>
      <c r="D925" s="1">
        <v>360</v>
      </c>
      <c r="E925" s="1" t="s">
        <v>7</v>
      </c>
    </row>
    <row r="926" spans="1:5" x14ac:dyDescent="0.25">
      <c r="A926" s="2">
        <v>45814</v>
      </c>
      <c r="B926" s="1">
        <v>2025</v>
      </c>
      <c r="C926" s="1">
        <v>6</v>
      </c>
      <c r="D926" s="1">
        <v>62.395833333333329</v>
      </c>
      <c r="E926" s="1" t="s">
        <v>133</v>
      </c>
    </row>
    <row r="927" spans="1:5" x14ac:dyDescent="0.25">
      <c r="A927" s="2">
        <v>45821</v>
      </c>
      <c r="B927" s="1">
        <v>2025</v>
      </c>
      <c r="C927" s="1">
        <v>6</v>
      </c>
      <c r="D927" s="1">
        <v>17.625</v>
      </c>
      <c r="E927" s="1" t="s">
        <v>134</v>
      </c>
    </row>
    <row r="928" spans="1:5" x14ac:dyDescent="0.25">
      <c r="A928" s="2">
        <v>45821</v>
      </c>
      <c r="B928" s="1">
        <v>2025</v>
      </c>
      <c r="C928" s="1">
        <v>6</v>
      </c>
      <c r="D928" s="1">
        <v>59.616499999999995</v>
      </c>
      <c r="E928" s="1" t="s">
        <v>5</v>
      </c>
    </row>
    <row r="929" spans="1:5" x14ac:dyDescent="0.25">
      <c r="A929" s="2">
        <v>45821</v>
      </c>
      <c r="B929" s="1">
        <v>2025</v>
      </c>
      <c r="C929" s="1">
        <v>6</v>
      </c>
      <c r="D929" s="1">
        <v>9010.737009090908</v>
      </c>
      <c r="E929" s="1" t="s">
        <v>130</v>
      </c>
    </row>
    <row r="930" spans="1:5" x14ac:dyDescent="0.25">
      <c r="A930" s="2">
        <v>45821</v>
      </c>
      <c r="B930" s="1">
        <v>2025</v>
      </c>
      <c r="C930" s="1">
        <v>6</v>
      </c>
      <c r="D930" s="1">
        <v>360</v>
      </c>
      <c r="E930" s="1" t="s">
        <v>7</v>
      </c>
    </row>
    <row r="931" spans="1:5" x14ac:dyDescent="0.25">
      <c r="A931" s="2">
        <v>45821</v>
      </c>
      <c r="B931" s="1">
        <v>2025</v>
      </c>
      <c r="C931" s="1">
        <v>6</v>
      </c>
      <c r="D931" s="1">
        <v>66.25</v>
      </c>
      <c r="E931" s="1" t="s">
        <v>132</v>
      </c>
    </row>
    <row r="932" spans="1:5" x14ac:dyDescent="0.25">
      <c r="A932" s="2">
        <v>45821</v>
      </c>
      <c r="B932" s="1">
        <v>2025</v>
      </c>
      <c r="C932" s="1">
        <v>6</v>
      </c>
      <c r="D932" s="1">
        <v>26.166666666666664</v>
      </c>
      <c r="E932" s="1" t="s">
        <v>136</v>
      </c>
    </row>
    <row r="933" spans="1:5" x14ac:dyDescent="0.25">
      <c r="A933" s="2">
        <v>45821</v>
      </c>
      <c r="B933" s="1">
        <v>2025</v>
      </c>
      <c r="C933" s="1">
        <v>6</v>
      </c>
      <c r="D933" s="1">
        <v>8.1007798670683613</v>
      </c>
      <c r="E933" s="1" t="s">
        <v>131</v>
      </c>
    </row>
    <row r="934" spans="1:5" x14ac:dyDescent="0.25">
      <c r="A934" s="2">
        <v>45821</v>
      </c>
      <c r="B934" s="1">
        <v>2025</v>
      </c>
      <c r="C934" s="1">
        <v>6</v>
      </c>
      <c r="D934" s="1">
        <v>72.916666666666671</v>
      </c>
      <c r="E934" s="1" t="s">
        <v>133</v>
      </c>
    </row>
    <row r="935" spans="1:5" x14ac:dyDescent="0.25">
      <c r="A935" s="2">
        <v>45824</v>
      </c>
      <c r="B935" s="1">
        <v>2025</v>
      </c>
      <c r="C935" s="1">
        <v>6</v>
      </c>
      <c r="D935" s="1">
        <v>110.61714285714287</v>
      </c>
      <c r="E935" s="1" t="s">
        <v>11</v>
      </c>
    </row>
    <row r="936" spans="1:5" x14ac:dyDescent="0.25">
      <c r="A936" s="2">
        <v>45828</v>
      </c>
      <c r="B936" s="1">
        <v>2025</v>
      </c>
      <c r="C936" s="1">
        <v>6</v>
      </c>
      <c r="D936" s="1">
        <v>17.625</v>
      </c>
      <c r="E936" s="1" t="s">
        <v>134</v>
      </c>
    </row>
    <row r="937" spans="1:5" x14ac:dyDescent="0.25">
      <c r="A937" s="2">
        <v>45828</v>
      </c>
      <c r="B937" s="1">
        <v>2025</v>
      </c>
      <c r="C937" s="1">
        <v>6</v>
      </c>
      <c r="D937" s="1">
        <v>67.324100000000001</v>
      </c>
      <c r="E937" s="1" t="s">
        <v>5</v>
      </c>
    </row>
    <row r="938" spans="1:5" x14ac:dyDescent="0.25">
      <c r="A938" s="2">
        <v>45828</v>
      </c>
      <c r="B938" s="1">
        <v>2025</v>
      </c>
      <c r="C938" s="1">
        <v>6</v>
      </c>
      <c r="D938" s="1">
        <v>8741.7755090909104</v>
      </c>
      <c r="E938" s="1" t="s">
        <v>130</v>
      </c>
    </row>
    <row r="939" spans="1:5" x14ac:dyDescent="0.25">
      <c r="A939" s="2">
        <v>45828</v>
      </c>
      <c r="B939" s="1">
        <v>2025</v>
      </c>
      <c r="C939" s="1">
        <v>6</v>
      </c>
      <c r="D939" s="1">
        <v>74.583333333333329</v>
      </c>
      <c r="E939" s="1" t="s">
        <v>133</v>
      </c>
    </row>
    <row r="940" spans="1:5" x14ac:dyDescent="0.25">
      <c r="A940" s="2">
        <v>45828</v>
      </c>
      <c r="B940" s="1">
        <v>2025</v>
      </c>
      <c r="C940" s="1">
        <v>6</v>
      </c>
      <c r="D940" s="1">
        <v>26.833333333333332</v>
      </c>
      <c r="E940" s="1" t="s">
        <v>136</v>
      </c>
    </row>
    <row r="941" spans="1:5" x14ac:dyDescent="0.25">
      <c r="A941" s="2">
        <v>45828</v>
      </c>
      <c r="B941" s="1">
        <v>2025</v>
      </c>
      <c r="C941" s="1">
        <v>6</v>
      </c>
      <c r="D941" s="1">
        <v>8.2115133952886765</v>
      </c>
      <c r="E941" s="1" t="s">
        <v>131</v>
      </c>
    </row>
    <row r="942" spans="1:5" x14ac:dyDescent="0.25">
      <c r="A942" s="2">
        <v>45828</v>
      </c>
      <c r="B942" s="1">
        <v>2025</v>
      </c>
      <c r="C942" s="1">
        <v>6</v>
      </c>
      <c r="D942" s="1">
        <v>405</v>
      </c>
      <c r="E942" s="1" t="s">
        <v>7</v>
      </c>
    </row>
    <row r="943" spans="1:5" x14ac:dyDescent="0.25">
      <c r="A943" s="2">
        <v>45828</v>
      </c>
      <c r="B943" s="1">
        <v>2025</v>
      </c>
      <c r="C943" s="1">
        <v>6</v>
      </c>
      <c r="D943" s="1">
        <v>63.958333333333329</v>
      </c>
      <c r="E943" s="1" t="s">
        <v>132</v>
      </c>
    </row>
    <row r="944" spans="1:5" x14ac:dyDescent="0.25">
      <c r="A944" s="2">
        <v>45835</v>
      </c>
      <c r="B944" s="1">
        <v>2025</v>
      </c>
      <c r="C944" s="1">
        <v>6</v>
      </c>
      <c r="D944" s="1">
        <v>17.5</v>
      </c>
      <c r="E944" s="1" t="s">
        <v>134</v>
      </c>
    </row>
    <row r="945" spans="1:5" x14ac:dyDescent="0.25">
      <c r="A945" s="2">
        <v>45835</v>
      </c>
      <c r="B945" s="1">
        <v>2025</v>
      </c>
      <c r="C945" s="1">
        <v>6</v>
      </c>
      <c r="D945" s="1">
        <v>61.064100000000003</v>
      </c>
      <c r="E945" s="1" t="s">
        <v>5</v>
      </c>
    </row>
    <row r="946" spans="1:5" x14ac:dyDescent="0.25">
      <c r="A946" s="2">
        <v>45835</v>
      </c>
      <c r="B946" s="1">
        <v>2025</v>
      </c>
      <c r="C946" s="1">
        <v>6</v>
      </c>
      <c r="D946" s="1">
        <v>435</v>
      </c>
      <c r="E946" s="1" t="s">
        <v>7</v>
      </c>
    </row>
    <row r="947" spans="1:5" x14ac:dyDescent="0.25">
      <c r="A947" s="2">
        <v>45835</v>
      </c>
      <c r="B947" s="1">
        <v>2025</v>
      </c>
      <c r="C947" s="1">
        <v>6</v>
      </c>
      <c r="D947" s="1">
        <v>71.25</v>
      </c>
      <c r="E947" s="1" t="s">
        <v>133</v>
      </c>
    </row>
    <row r="948" spans="1:5" x14ac:dyDescent="0.25">
      <c r="A948" s="2">
        <v>45835</v>
      </c>
      <c r="B948" s="1">
        <v>2025</v>
      </c>
      <c r="C948" s="1">
        <v>6</v>
      </c>
      <c r="D948" s="1">
        <v>9083.2732840909102</v>
      </c>
      <c r="E948" s="1" t="s">
        <v>130</v>
      </c>
    </row>
    <row r="949" spans="1:5" x14ac:dyDescent="0.25">
      <c r="A949" s="2">
        <v>45835</v>
      </c>
      <c r="B949" s="1">
        <v>2025</v>
      </c>
      <c r="C949" s="1">
        <v>6</v>
      </c>
      <c r="D949" s="1">
        <v>7.9211171109068683</v>
      </c>
      <c r="E949" s="1" t="s">
        <v>131</v>
      </c>
    </row>
    <row r="950" spans="1:5" x14ac:dyDescent="0.25">
      <c r="A950" s="2">
        <v>45835</v>
      </c>
      <c r="B950" s="1">
        <v>2025</v>
      </c>
      <c r="C950" s="1">
        <v>6</v>
      </c>
      <c r="D950" s="1">
        <v>26.5</v>
      </c>
      <c r="E950" s="1" t="s">
        <v>136</v>
      </c>
    </row>
    <row r="951" spans="1:5" x14ac:dyDescent="0.25">
      <c r="A951" s="2">
        <v>45835</v>
      </c>
      <c r="B951" s="1">
        <v>2025</v>
      </c>
      <c r="C951" s="1">
        <v>6</v>
      </c>
      <c r="D951" s="1">
        <v>63.125</v>
      </c>
      <c r="E951" s="1" t="s">
        <v>132</v>
      </c>
    </row>
    <row r="952" spans="1:5" x14ac:dyDescent="0.25">
      <c r="A952" s="2">
        <v>45838</v>
      </c>
      <c r="B952" s="1">
        <v>2025</v>
      </c>
      <c r="C952" s="1">
        <v>6</v>
      </c>
      <c r="D952" s="1">
        <v>120.81</v>
      </c>
      <c r="E952" s="1" t="s">
        <v>11</v>
      </c>
    </row>
    <row r="953" spans="1:5" x14ac:dyDescent="0.25">
      <c r="A953" s="2">
        <v>45839</v>
      </c>
      <c r="B953" s="1">
        <v>2025</v>
      </c>
      <c r="C953" s="1">
        <v>7</v>
      </c>
      <c r="D953" s="1">
        <v>70.971428571428575</v>
      </c>
      <c r="E953" s="1" t="s">
        <v>10</v>
      </c>
    </row>
    <row r="954" spans="1:5" x14ac:dyDescent="0.25">
      <c r="A954" s="2">
        <v>45839</v>
      </c>
      <c r="B954" s="1">
        <v>2025</v>
      </c>
      <c r="C954" s="1">
        <v>7</v>
      </c>
      <c r="D954" s="1">
        <v>-162.05479452054794</v>
      </c>
      <c r="E954" s="1" t="s">
        <v>12</v>
      </c>
    </row>
    <row r="955" spans="1:5" x14ac:dyDescent="0.25">
      <c r="A955" s="2">
        <v>45839</v>
      </c>
      <c r="B955" s="1">
        <v>2025</v>
      </c>
      <c r="C955" s="1">
        <v>7</v>
      </c>
      <c r="D955" s="1">
        <v>317</v>
      </c>
      <c r="E955" s="1" t="s">
        <v>9</v>
      </c>
    </row>
    <row r="956" spans="1:5" x14ac:dyDescent="0.25">
      <c r="A956" s="2">
        <v>45839</v>
      </c>
      <c r="B956" s="1">
        <v>2025</v>
      </c>
      <c r="C956" s="1">
        <v>7</v>
      </c>
      <c r="D956" s="1">
        <v>20027</v>
      </c>
      <c r="E956" s="1" t="s">
        <v>8</v>
      </c>
    </row>
    <row r="957" spans="1:5" x14ac:dyDescent="0.25">
      <c r="A957" s="2">
        <v>45842</v>
      </c>
      <c r="B957" s="1">
        <v>2025</v>
      </c>
      <c r="C957" s="1">
        <v>7</v>
      </c>
      <c r="D957" s="1">
        <v>26.645833333333332</v>
      </c>
      <c r="E957" s="1" t="s">
        <v>136</v>
      </c>
    </row>
    <row r="958" spans="1:5" x14ac:dyDescent="0.25">
      <c r="A958" s="2">
        <v>45842</v>
      </c>
      <c r="B958" s="1">
        <v>2025</v>
      </c>
      <c r="C958" s="1">
        <v>7</v>
      </c>
      <c r="D958" s="1">
        <v>70</v>
      </c>
      <c r="E958" s="1" t="s">
        <v>133</v>
      </c>
    </row>
    <row r="959" spans="1:5" x14ac:dyDescent="0.25">
      <c r="A959" s="2">
        <v>45842</v>
      </c>
      <c r="B959" s="1">
        <v>2025</v>
      </c>
      <c r="C959" s="1">
        <v>7</v>
      </c>
      <c r="D959" s="1">
        <v>18.625</v>
      </c>
      <c r="E959" s="1" t="s">
        <v>134</v>
      </c>
    </row>
    <row r="960" spans="1:5" x14ac:dyDescent="0.25">
      <c r="A960" s="2">
        <v>45842</v>
      </c>
      <c r="B960" s="1">
        <v>2025</v>
      </c>
      <c r="C960" s="1">
        <v>7</v>
      </c>
      <c r="D960" s="1">
        <v>59.993850000000002</v>
      </c>
      <c r="E960" s="1" t="s">
        <v>5</v>
      </c>
    </row>
    <row r="961" spans="1:5" x14ac:dyDescent="0.25">
      <c r="A961" s="2">
        <v>45842</v>
      </c>
      <c r="B961" s="1">
        <v>2025</v>
      </c>
      <c r="C961" s="1">
        <v>7</v>
      </c>
      <c r="D961" s="1">
        <v>61.250000000000007</v>
      </c>
      <c r="E961" s="1" t="s">
        <v>132</v>
      </c>
    </row>
    <row r="962" spans="1:5" x14ac:dyDescent="0.25">
      <c r="A962" s="2">
        <v>45842</v>
      </c>
      <c r="B962" s="1">
        <v>2025</v>
      </c>
      <c r="C962" s="1">
        <v>7</v>
      </c>
      <c r="D962" s="1">
        <v>410</v>
      </c>
      <c r="E962" s="1" t="s">
        <v>7</v>
      </c>
    </row>
    <row r="963" spans="1:5" x14ac:dyDescent="0.25">
      <c r="A963" s="2">
        <v>45842</v>
      </c>
      <c r="B963" s="1">
        <v>2025</v>
      </c>
      <c r="C963" s="1">
        <v>7</v>
      </c>
      <c r="D963" s="1">
        <v>7.9469655713848093</v>
      </c>
      <c r="E963" s="1" t="s">
        <v>131</v>
      </c>
    </row>
    <row r="964" spans="1:5" x14ac:dyDescent="0.25">
      <c r="A964" s="2">
        <v>45842</v>
      </c>
      <c r="B964" s="1">
        <v>2025</v>
      </c>
      <c r="C964" s="1">
        <v>7</v>
      </c>
      <c r="D964" s="1">
        <v>9203.0590090909118</v>
      </c>
      <c r="E964" s="1" t="s">
        <v>130</v>
      </c>
    </row>
    <row r="965" spans="1:5" x14ac:dyDescent="0.25">
      <c r="A965" s="2">
        <v>45849</v>
      </c>
      <c r="B965" s="1">
        <v>2025</v>
      </c>
      <c r="C965" s="1">
        <v>7</v>
      </c>
      <c r="D965" s="1">
        <v>28.625</v>
      </c>
      <c r="E965" s="1" t="s">
        <v>136</v>
      </c>
    </row>
    <row r="966" spans="1:5" x14ac:dyDescent="0.25">
      <c r="A966" s="2">
        <v>45849</v>
      </c>
      <c r="B966" s="1">
        <v>2025</v>
      </c>
      <c r="C966" s="1">
        <v>7</v>
      </c>
      <c r="D966" s="1">
        <v>19.375</v>
      </c>
      <c r="E966" s="1" t="s">
        <v>134</v>
      </c>
    </row>
    <row r="967" spans="1:5" x14ac:dyDescent="0.25">
      <c r="A967" s="2">
        <v>45849</v>
      </c>
      <c r="B967" s="1">
        <v>2025</v>
      </c>
      <c r="C967" s="1">
        <v>7</v>
      </c>
      <c r="D967" s="1">
        <v>7.8687819563589372</v>
      </c>
      <c r="E967" s="1" t="s">
        <v>131</v>
      </c>
    </row>
    <row r="968" spans="1:5" x14ac:dyDescent="0.25">
      <c r="A968" s="2">
        <v>45849</v>
      </c>
      <c r="B968" s="1">
        <v>2025</v>
      </c>
      <c r="C968" s="1">
        <v>7</v>
      </c>
      <c r="D968" s="1">
        <v>9213.7746090909077</v>
      </c>
      <c r="E968" s="1" t="s">
        <v>130</v>
      </c>
    </row>
    <row r="969" spans="1:5" x14ac:dyDescent="0.25">
      <c r="A969" s="2">
        <v>45849</v>
      </c>
      <c r="B969" s="1">
        <v>2025</v>
      </c>
      <c r="C969" s="1">
        <v>7</v>
      </c>
      <c r="D969" s="1">
        <v>62.549749999999996</v>
      </c>
      <c r="E969" s="1" t="s">
        <v>5</v>
      </c>
    </row>
    <row r="970" spans="1:5" x14ac:dyDescent="0.25">
      <c r="A970" s="2">
        <v>45849</v>
      </c>
      <c r="B970" s="1">
        <v>2025</v>
      </c>
      <c r="C970" s="1">
        <v>7</v>
      </c>
      <c r="D970" s="1">
        <v>450</v>
      </c>
      <c r="E970" s="1" t="s">
        <v>7</v>
      </c>
    </row>
    <row r="971" spans="1:5" x14ac:dyDescent="0.25">
      <c r="A971" s="2">
        <v>45849</v>
      </c>
      <c r="B971" s="1">
        <v>2025</v>
      </c>
      <c r="C971" s="1">
        <v>7</v>
      </c>
      <c r="D971" s="1">
        <v>62.291666666666671</v>
      </c>
      <c r="E971" s="1" t="s">
        <v>132</v>
      </c>
    </row>
    <row r="972" spans="1:5" x14ac:dyDescent="0.25">
      <c r="A972" s="2">
        <v>45849</v>
      </c>
      <c r="B972" s="1">
        <v>2025</v>
      </c>
      <c r="C972" s="1">
        <v>7</v>
      </c>
      <c r="D972" s="1">
        <v>73.541666666666671</v>
      </c>
      <c r="E972" s="1" t="s">
        <v>133</v>
      </c>
    </row>
    <row r="973" spans="1:5" x14ac:dyDescent="0.25">
      <c r="A973" s="2">
        <v>45853</v>
      </c>
      <c r="B973" s="1">
        <v>2025</v>
      </c>
      <c r="C973" s="1">
        <v>7</v>
      </c>
      <c r="D973" s="1">
        <v>124.875</v>
      </c>
      <c r="E973" s="1" t="s">
        <v>11</v>
      </c>
    </row>
    <row r="974" spans="1:5" x14ac:dyDescent="0.25">
      <c r="A974" s="2">
        <v>45856</v>
      </c>
      <c r="B974" s="1">
        <v>2025</v>
      </c>
      <c r="C974" s="1">
        <v>7</v>
      </c>
      <c r="D974" s="1">
        <v>20.375</v>
      </c>
      <c r="E974" s="1" t="s">
        <v>134</v>
      </c>
    </row>
    <row r="975" spans="1:5" x14ac:dyDescent="0.25">
      <c r="A975" s="2">
        <v>45856</v>
      </c>
      <c r="B975" s="1">
        <v>2025</v>
      </c>
      <c r="C975" s="1">
        <v>7</v>
      </c>
      <c r="D975" s="1">
        <v>450</v>
      </c>
      <c r="E975" s="1" t="s">
        <v>7</v>
      </c>
    </row>
    <row r="976" spans="1:5" x14ac:dyDescent="0.25">
      <c r="A976" s="2">
        <v>45856</v>
      </c>
      <c r="B976" s="1">
        <v>2025</v>
      </c>
      <c r="C976" s="1">
        <v>7</v>
      </c>
      <c r="D976" s="1">
        <v>72.361111111111114</v>
      </c>
      <c r="E976" s="1" t="s">
        <v>133</v>
      </c>
    </row>
    <row r="977" spans="1:5" x14ac:dyDescent="0.25">
      <c r="A977" s="2">
        <v>45856</v>
      </c>
      <c r="B977" s="1">
        <v>2025</v>
      </c>
      <c r="C977" s="1">
        <v>7</v>
      </c>
      <c r="D977" s="1">
        <v>28.583333333333332</v>
      </c>
      <c r="E977" s="1" t="s">
        <v>136</v>
      </c>
    </row>
    <row r="978" spans="1:5" x14ac:dyDescent="0.25">
      <c r="A978" s="2">
        <v>45856</v>
      </c>
      <c r="B978" s="1">
        <v>2025</v>
      </c>
      <c r="C978" s="1">
        <v>7</v>
      </c>
      <c r="D978" s="1">
        <v>62.470749999999995</v>
      </c>
      <c r="E978" s="1" t="s">
        <v>5</v>
      </c>
    </row>
    <row r="979" spans="1:5" x14ac:dyDescent="0.25">
      <c r="A979" s="2">
        <v>45856</v>
      </c>
      <c r="B979" s="1">
        <v>2025</v>
      </c>
      <c r="C979" s="1">
        <v>7</v>
      </c>
      <c r="D979" s="1">
        <v>9332.7036090909114</v>
      </c>
      <c r="E979" s="1" t="s">
        <v>130</v>
      </c>
    </row>
    <row r="980" spans="1:5" x14ac:dyDescent="0.25">
      <c r="A980" s="2">
        <v>45856</v>
      </c>
      <c r="B980" s="1">
        <v>2025</v>
      </c>
      <c r="C980" s="1">
        <v>7</v>
      </c>
      <c r="D980" s="1">
        <v>61.944444444444443</v>
      </c>
      <c r="E980" s="1" t="s">
        <v>132</v>
      </c>
    </row>
    <row r="981" spans="1:5" x14ac:dyDescent="0.25">
      <c r="A981" s="2">
        <v>45856</v>
      </c>
      <c r="B981" s="1">
        <v>2025</v>
      </c>
      <c r="C981" s="1">
        <v>7</v>
      </c>
      <c r="D981" s="1">
        <v>7.8515496493736432</v>
      </c>
      <c r="E981" s="1" t="s">
        <v>131</v>
      </c>
    </row>
    <row r="982" spans="1:5" x14ac:dyDescent="0.25">
      <c r="A982" s="2">
        <v>45863</v>
      </c>
      <c r="B982" s="1">
        <v>2025</v>
      </c>
      <c r="C982" s="1">
        <v>7</v>
      </c>
      <c r="D982" s="1">
        <v>22.25</v>
      </c>
      <c r="E982" s="1" t="s">
        <v>134</v>
      </c>
    </row>
    <row r="983" spans="1:5" x14ac:dyDescent="0.25">
      <c r="A983" s="2">
        <v>45863</v>
      </c>
      <c r="B983" s="1">
        <v>2025</v>
      </c>
      <c r="C983" s="1">
        <v>7</v>
      </c>
      <c r="D983" s="1">
        <v>430</v>
      </c>
      <c r="E983" s="1" t="s">
        <v>7</v>
      </c>
    </row>
    <row r="984" spans="1:5" x14ac:dyDescent="0.25">
      <c r="A984" s="2">
        <v>45863</v>
      </c>
      <c r="B984" s="1">
        <v>2025</v>
      </c>
      <c r="C984" s="1">
        <v>7</v>
      </c>
      <c r="D984" s="1">
        <v>59.174999999999997</v>
      </c>
      <c r="E984" s="1" t="s">
        <v>132</v>
      </c>
    </row>
    <row r="985" spans="1:5" x14ac:dyDescent="0.25">
      <c r="A985" s="2">
        <v>45863</v>
      </c>
      <c r="B985" s="1">
        <v>2025</v>
      </c>
      <c r="C985" s="1">
        <v>7</v>
      </c>
      <c r="D985" s="1">
        <v>8.4472768841911812</v>
      </c>
      <c r="E985" s="1" t="s">
        <v>131</v>
      </c>
    </row>
    <row r="986" spans="1:5" x14ac:dyDescent="0.25">
      <c r="A986" s="2">
        <v>45863</v>
      </c>
      <c r="B986" s="1">
        <v>2025</v>
      </c>
      <c r="C986" s="1">
        <v>7</v>
      </c>
      <c r="D986" s="1">
        <v>28.916666666666668</v>
      </c>
      <c r="E986" s="1" t="s">
        <v>136</v>
      </c>
    </row>
    <row r="987" spans="1:5" x14ac:dyDescent="0.25">
      <c r="A987" s="2">
        <v>45863</v>
      </c>
      <c r="B987" s="1">
        <v>2025</v>
      </c>
      <c r="C987" s="1">
        <v>7</v>
      </c>
      <c r="D987" s="1">
        <v>10041.725409090914</v>
      </c>
      <c r="E987" s="1" t="s">
        <v>130</v>
      </c>
    </row>
    <row r="988" spans="1:5" x14ac:dyDescent="0.25">
      <c r="A988" s="2">
        <v>45863</v>
      </c>
      <c r="B988" s="1">
        <v>2025</v>
      </c>
      <c r="C988" s="1">
        <v>7</v>
      </c>
      <c r="D988" s="1">
        <v>74.150000000000006</v>
      </c>
      <c r="E988" s="1" t="s">
        <v>133</v>
      </c>
    </row>
    <row r="989" spans="1:5" x14ac:dyDescent="0.25">
      <c r="A989" s="2">
        <v>45863</v>
      </c>
      <c r="B989" s="1">
        <v>2025</v>
      </c>
      <c r="C989" s="1">
        <v>7</v>
      </c>
      <c r="D989" s="1">
        <v>60.918049999999994</v>
      </c>
      <c r="E989" s="1" t="s">
        <v>5</v>
      </c>
    </row>
    <row r="990" spans="1:5" x14ac:dyDescent="0.25">
      <c r="A990" s="2">
        <v>45869</v>
      </c>
      <c r="B990" s="1">
        <v>2025</v>
      </c>
      <c r="C990" s="1">
        <v>7</v>
      </c>
      <c r="D990" s="1">
        <v>105.30000000000001</v>
      </c>
      <c r="E990" s="1" t="s">
        <v>11</v>
      </c>
    </row>
    <row r="991" spans="1:5" x14ac:dyDescent="0.25">
      <c r="A991" s="2">
        <v>45870</v>
      </c>
      <c r="B991" s="1">
        <v>2025</v>
      </c>
      <c r="C991" s="1">
        <v>8</v>
      </c>
      <c r="D991" s="1">
        <v>322</v>
      </c>
      <c r="E991" s="1" t="s">
        <v>9</v>
      </c>
    </row>
    <row r="992" spans="1:5" x14ac:dyDescent="0.25">
      <c r="A992" s="2">
        <v>45870</v>
      </c>
      <c r="B992" s="1">
        <v>2025</v>
      </c>
      <c r="C992" s="1">
        <v>8</v>
      </c>
      <c r="D992" s="1">
        <v>435</v>
      </c>
      <c r="E992" s="1" t="s">
        <v>7</v>
      </c>
    </row>
    <row r="993" spans="1:5" x14ac:dyDescent="0.25">
      <c r="A993" s="2">
        <v>45870</v>
      </c>
      <c r="B993" s="1">
        <v>2025</v>
      </c>
      <c r="C993" s="1">
        <v>8</v>
      </c>
      <c r="D993" s="1">
        <v>62.780555555555559</v>
      </c>
      <c r="E993" s="1" t="s">
        <v>132</v>
      </c>
    </row>
    <row r="994" spans="1:5" x14ac:dyDescent="0.25">
      <c r="A994" s="2">
        <v>45870</v>
      </c>
      <c r="B994" s="1">
        <v>2025</v>
      </c>
      <c r="C994" s="1">
        <v>8</v>
      </c>
      <c r="D994" s="1">
        <v>62.668959999999984</v>
      </c>
      <c r="E994" s="1" t="s">
        <v>5</v>
      </c>
    </row>
    <row r="995" spans="1:5" x14ac:dyDescent="0.25">
      <c r="A995" s="2">
        <v>45870</v>
      </c>
      <c r="B995" s="1">
        <v>2025</v>
      </c>
      <c r="C995" s="1">
        <v>8</v>
      </c>
      <c r="D995" s="1">
        <v>67.135125000000002</v>
      </c>
      <c r="E995" s="1" t="s">
        <v>10</v>
      </c>
    </row>
    <row r="996" spans="1:5" x14ac:dyDescent="0.25">
      <c r="A996" s="2">
        <v>45870</v>
      </c>
      <c r="B996" s="1">
        <v>2025</v>
      </c>
      <c r="C996" s="1">
        <v>8</v>
      </c>
      <c r="D996" s="1">
        <v>21377</v>
      </c>
      <c r="E996" s="1" t="s">
        <v>8</v>
      </c>
    </row>
    <row r="997" spans="1:5" x14ac:dyDescent="0.25">
      <c r="A997" s="2">
        <v>45870</v>
      </c>
      <c r="B997" s="1">
        <v>2025</v>
      </c>
      <c r="C997" s="1">
        <v>8</v>
      </c>
      <c r="D997" s="1">
        <v>23.5</v>
      </c>
      <c r="E997" s="1" t="s">
        <v>134</v>
      </c>
    </row>
    <row r="998" spans="1:5" x14ac:dyDescent="0.25">
      <c r="A998" s="2">
        <v>45870</v>
      </c>
      <c r="B998" s="1">
        <v>2025</v>
      </c>
      <c r="C998" s="1">
        <v>8</v>
      </c>
      <c r="D998" s="1">
        <v>72.216666666666669</v>
      </c>
      <c r="E998" s="1" t="s">
        <v>133</v>
      </c>
    </row>
    <row r="999" spans="1:5" x14ac:dyDescent="0.25">
      <c r="A999" s="2">
        <v>45870</v>
      </c>
      <c r="B999" s="1">
        <v>2025</v>
      </c>
      <c r="C999" s="1">
        <v>8</v>
      </c>
      <c r="D999" s="1">
        <v>10856.578837691464</v>
      </c>
      <c r="E999" s="1" t="s">
        <v>130</v>
      </c>
    </row>
    <row r="1000" spans="1:5" x14ac:dyDescent="0.25">
      <c r="A1000" s="2">
        <v>45870</v>
      </c>
      <c r="B1000" s="1">
        <v>2025</v>
      </c>
      <c r="C1000" s="1">
        <v>8</v>
      </c>
      <c r="D1000" s="1">
        <v>322</v>
      </c>
      <c r="E1000" s="1" t="s">
        <v>13</v>
      </c>
    </row>
    <row r="1001" spans="1:5" x14ac:dyDescent="0.25">
      <c r="A1001" s="2">
        <v>45870</v>
      </c>
      <c r="B1001" s="1">
        <v>2025</v>
      </c>
      <c r="C1001" s="1">
        <v>8</v>
      </c>
      <c r="D1001" s="1">
        <v>8.6310881587009867</v>
      </c>
      <c r="E1001" s="1" t="s">
        <v>131</v>
      </c>
    </row>
    <row r="1002" spans="1:5" x14ac:dyDescent="0.25">
      <c r="A1002" s="2">
        <v>45870</v>
      </c>
      <c r="B1002" s="1">
        <v>2025</v>
      </c>
      <c r="C1002" s="1">
        <v>8</v>
      </c>
      <c r="D1002" s="1">
        <v>28.833333333333332</v>
      </c>
      <c r="E1002" s="1" t="s">
        <v>136</v>
      </c>
    </row>
    <row r="1003" spans="1:5" x14ac:dyDescent="0.25">
      <c r="A1003" s="2">
        <v>45873</v>
      </c>
      <c r="B1003" s="1">
        <v>2025</v>
      </c>
      <c r="C1003" s="1">
        <v>8</v>
      </c>
      <c r="D1003" s="1">
        <v>-136.91740412979345</v>
      </c>
      <c r="E1003" s="1" t="s">
        <v>12</v>
      </c>
    </row>
    <row r="1004" spans="1:5" x14ac:dyDescent="0.25">
      <c r="A1004" s="2">
        <v>45877</v>
      </c>
      <c r="B1004" s="1">
        <v>2025</v>
      </c>
      <c r="C1004" s="1">
        <v>8</v>
      </c>
      <c r="D1004" s="1">
        <v>455</v>
      </c>
      <c r="E1004" s="1" t="s">
        <v>7</v>
      </c>
    </row>
    <row r="1005" spans="1:5" x14ac:dyDescent="0.25">
      <c r="A1005" s="2">
        <v>45877</v>
      </c>
      <c r="B1005" s="1">
        <v>2025</v>
      </c>
      <c r="C1005" s="1">
        <v>8</v>
      </c>
      <c r="D1005" s="1">
        <v>26.875</v>
      </c>
      <c r="E1005" s="1" t="s">
        <v>134</v>
      </c>
    </row>
    <row r="1006" spans="1:5" x14ac:dyDescent="0.25">
      <c r="A1006" s="2">
        <v>45877</v>
      </c>
      <c r="B1006" s="1">
        <v>2025</v>
      </c>
      <c r="C1006" s="1">
        <v>8</v>
      </c>
      <c r="D1006" s="1">
        <v>28.9</v>
      </c>
      <c r="E1006" s="1" t="s">
        <v>136</v>
      </c>
    </row>
    <row r="1007" spans="1:5" x14ac:dyDescent="0.25">
      <c r="A1007" s="2">
        <v>45877</v>
      </c>
      <c r="B1007" s="1">
        <v>2025</v>
      </c>
      <c r="C1007" s="1">
        <v>8</v>
      </c>
      <c r="D1007" s="1">
        <v>59.402870000000007</v>
      </c>
      <c r="E1007" s="1" t="s">
        <v>5</v>
      </c>
    </row>
    <row r="1008" spans="1:5" x14ac:dyDescent="0.25">
      <c r="A1008" s="2">
        <v>45877</v>
      </c>
      <c r="B1008" s="1">
        <v>2025</v>
      </c>
      <c r="C1008" s="1">
        <v>8</v>
      </c>
      <c r="D1008" s="1">
        <v>58.402777777777779</v>
      </c>
      <c r="E1008" s="1" t="s">
        <v>132</v>
      </c>
    </row>
    <row r="1009" spans="1:5" x14ac:dyDescent="0.25">
      <c r="A1009" s="2">
        <v>45877</v>
      </c>
      <c r="B1009" s="1">
        <v>2025</v>
      </c>
      <c r="C1009" s="1">
        <v>8</v>
      </c>
      <c r="D1009" s="1">
        <v>9.0673846422249529</v>
      </c>
      <c r="E1009" s="1" t="s">
        <v>131</v>
      </c>
    </row>
    <row r="1010" spans="1:5" x14ac:dyDescent="0.25">
      <c r="A1010" s="2">
        <v>45877</v>
      </c>
      <c r="B1010" s="1">
        <v>2025</v>
      </c>
      <c r="C1010" s="1">
        <v>8</v>
      </c>
      <c r="D1010" s="1">
        <v>10524.615612691465</v>
      </c>
      <c r="E1010" s="1" t="s">
        <v>130</v>
      </c>
    </row>
    <row r="1011" spans="1:5" x14ac:dyDescent="0.25">
      <c r="A1011" s="2">
        <v>45877</v>
      </c>
      <c r="B1011" s="1">
        <v>2025</v>
      </c>
      <c r="C1011" s="1">
        <v>8</v>
      </c>
      <c r="D1011" s="1">
        <v>70.272222222222226</v>
      </c>
      <c r="E1011" s="1" t="s">
        <v>133</v>
      </c>
    </row>
    <row r="1012" spans="1:5" x14ac:dyDescent="0.25">
      <c r="A1012" s="2">
        <v>45884</v>
      </c>
      <c r="B1012" s="1">
        <v>2025</v>
      </c>
      <c r="C1012" s="1">
        <v>8</v>
      </c>
      <c r="D1012" s="1">
        <v>105.64800000000001</v>
      </c>
      <c r="E1012" s="1" t="s">
        <v>11</v>
      </c>
    </row>
    <row r="1013" spans="1:5" x14ac:dyDescent="0.25">
      <c r="A1013" s="2">
        <v>45884</v>
      </c>
      <c r="B1013" s="1">
        <v>2025</v>
      </c>
      <c r="C1013" s="1">
        <v>8</v>
      </c>
      <c r="D1013" s="1">
        <v>30</v>
      </c>
      <c r="E1013" s="1" t="s">
        <v>134</v>
      </c>
    </row>
    <row r="1014" spans="1:5" x14ac:dyDescent="0.25">
      <c r="A1014" s="2">
        <v>45884</v>
      </c>
      <c r="B1014" s="1">
        <v>2025</v>
      </c>
      <c r="C1014" s="1">
        <v>8</v>
      </c>
      <c r="D1014" s="1">
        <v>10582.280612691466</v>
      </c>
      <c r="E1014" s="1" t="s">
        <v>130</v>
      </c>
    </row>
    <row r="1015" spans="1:5" x14ac:dyDescent="0.25">
      <c r="A1015" s="2">
        <v>45884</v>
      </c>
      <c r="B1015" s="1">
        <v>2025</v>
      </c>
      <c r="C1015" s="1">
        <v>8</v>
      </c>
      <c r="D1015" s="1">
        <v>71.245833333333337</v>
      </c>
      <c r="E1015" s="1" t="s">
        <v>133</v>
      </c>
    </row>
    <row r="1016" spans="1:5" x14ac:dyDescent="0.25">
      <c r="A1016" s="2">
        <v>45884</v>
      </c>
      <c r="B1016" s="1">
        <v>2025</v>
      </c>
      <c r="C1016" s="1">
        <v>8</v>
      </c>
      <c r="D1016" s="1">
        <v>457.5</v>
      </c>
      <c r="E1016" s="1" t="s">
        <v>7</v>
      </c>
    </row>
    <row r="1017" spans="1:5" x14ac:dyDescent="0.25">
      <c r="A1017" s="2">
        <v>45884</v>
      </c>
      <c r="B1017" s="1">
        <v>2025</v>
      </c>
      <c r="C1017" s="1">
        <v>8</v>
      </c>
      <c r="D1017" s="1">
        <v>57.842470000000013</v>
      </c>
      <c r="E1017" s="1" t="s">
        <v>5</v>
      </c>
    </row>
    <row r="1018" spans="1:5" x14ac:dyDescent="0.25">
      <c r="A1018" s="2">
        <v>45884</v>
      </c>
      <c r="B1018" s="1">
        <v>2025</v>
      </c>
      <c r="C1018" s="1">
        <v>8</v>
      </c>
      <c r="D1018" s="1">
        <v>9.1529079435593736</v>
      </c>
      <c r="E1018" s="1" t="s">
        <v>131</v>
      </c>
    </row>
    <row r="1019" spans="1:5" x14ac:dyDescent="0.25">
      <c r="A1019" s="2">
        <v>45884</v>
      </c>
      <c r="B1019" s="1">
        <v>2025</v>
      </c>
      <c r="C1019" s="1">
        <v>8</v>
      </c>
      <c r="D1019" s="1">
        <v>57.395833333333329</v>
      </c>
      <c r="E1019" s="1" t="s">
        <v>132</v>
      </c>
    </row>
    <row r="1020" spans="1:5" x14ac:dyDescent="0.25">
      <c r="A1020" s="2">
        <v>45891</v>
      </c>
      <c r="B1020" s="1">
        <v>2025</v>
      </c>
      <c r="C1020" s="1">
        <v>8</v>
      </c>
      <c r="D1020" s="1">
        <v>32.5</v>
      </c>
      <c r="E1020" s="1" t="s">
        <v>134</v>
      </c>
    </row>
    <row r="1021" spans="1:5" x14ac:dyDescent="0.25">
      <c r="A1021" s="2">
        <v>45891</v>
      </c>
      <c r="B1021" s="1">
        <v>2025</v>
      </c>
      <c r="C1021" s="1">
        <v>8</v>
      </c>
      <c r="D1021" s="1">
        <v>10399.938912691465</v>
      </c>
      <c r="E1021" s="1" t="s">
        <v>130</v>
      </c>
    </row>
    <row r="1022" spans="1:5" x14ac:dyDescent="0.25">
      <c r="A1022" s="2">
        <v>45891</v>
      </c>
      <c r="B1022" s="1">
        <v>2025</v>
      </c>
      <c r="C1022" s="1">
        <v>8</v>
      </c>
      <c r="D1022" s="1">
        <v>9.1184433295887857</v>
      </c>
      <c r="E1022" s="1" t="s">
        <v>131</v>
      </c>
    </row>
    <row r="1023" spans="1:5" x14ac:dyDescent="0.25">
      <c r="A1023" s="2">
        <v>45891</v>
      </c>
      <c r="B1023" s="1">
        <v>2025</v>
      </c>
      <c r="C1023" s="1">
        <v>8</v>
      </c>
      <c r="D1023" s="1">
        <v>58.541666666666664</v>
      </c>
      <c r="E1023" s="1" t="s">
        <v>132</v>
      </c>
    </row>
    <row r="1024" spans="1:5" x14ac:dyDescent="0.25">
      <c r="A1024" s="2">
        <v>45891</v>
      </c>
      <c r="B1024" s="1">
        <v>2025</v>
      </c>
      <c r="C1024" s="1">
        <v>8</v>
      </c>
      <c r="D1024" s="1">
        <v>457.5</v>
      </c>
      <c r="E1024" s="1" t="s">
        <v>7</v>
      </c>
    </row>
    <row r="1025" spans="1:5" x14ac:dyDescent="0.25">
      <c r="A1025" s="2">
        <v>45891</v>
      </c>
      <c r="B1025" s="1">
        <v>2025</v>
      </c>
      <c r="C1025" s="1">
        <v>8</v>
      </c>
      <c r="D1025" s="1">
        <v>57.235340000000008</v>
      </c>
      <c r="E1025" s="1" t="s">
        <v>5</v>
      </c>
    </row>
    <row r="1026" spans="1:5" x14ac:dyDescent="0.25">
      <c r="A1026" s="2">
        <v>45891</v>
      </c>
      <c r="B1026" s="1">
        <v>2025</v>
      </c>
      <c r="C1026" s="1">
        <v>8</v>
      </c>
      <c r="D1026" s="1">
        <v>72.708333333333343</v>
      </c>
      <c r="E1026" s="1" t="s">
        <v>133</v>
      </c>
    </row>
    <row r="1027" spans="1:5" x14ac:dyDescent="0.25">
      <c r="A1027" s="2">
        <v>45891</v>
      </c>
      <c r="B1027" s="1">
        <v>2025</v>
      </c>
      <c r="C1027" s="1">
        <v>8</v>
      </c>
      <c r="D1027" s="1">
        <v>28.916666666666668</v>
      </c>
      <c r="E1027" s="1" t="s">
        <v>136</v>
      </c>
    </row>
    <row r="1028" spans="1:5" x14ac:dyDescent="0.25">
      <c r="A1028" s="2">
        <v>45898</v>
      </c>
      <c r="B1028" s="1">
        <v>2025</v>
      </c>
      <c r="C1028" s="1">
        <v>8</v>
      </c>
      <c r="D1028" s="1">
        <v>34.25</v>
      </c>
      <c r="E1028" s="1" t="s">
        <v>134</v>
      </c>
    </row>
    <row r="1029" spans="1:5" x14ac:dyDescent="0.25">
      <c r="A1029" s="2">
        <v>45898</v>
      </c>
      <c r="B1029" s="1">
        <v>2025</v>
      </c>
      <c r="C1029" s="1">
        <v>8</v>
      </c>
      <c r="D1029" s="1">
        <v>10159.823412691465</v>
      </c>
      <c r="E1029" s="1" t="s">
        <v>130</v>
      </c>
    </row>
    <row r="1030" spans="1:5" x14ac:dyDescent="0.25">
      <c r="A1030" s="2">
        <v>45898</v>
      </c>
      <c r="B1030" s="1">
        <v>2025</v>
      </c>
      <c r="C1030" s="1">
        <v>8</v>
      </c>
      <c r="D1030" s="1">
        <v>71.5625</v>
      </c>
      <c r="E1030" s="1" t="s">
        <v>133</v>
      </c>
    </row>
    <row r="1031" spans="1:5" x14ac:dyDescent="0.25">
      <c r="A1031" s="2">
        <v>45898</v>
      </c>
      <c r="B1031" s="1">
        <v>2025</v>
      </c>
      <c r="C1031" s="1">
        <v>8</v>
      </c>
      <c r="D1031" s="1">
        <v>30.833333333333332</v>
      </c>
      <c r="E1031" s="1" t="s">
        <v>136</v>
      </c>
    </row>
    <row r="1032" spans="1:5" x14ac:dyDescent="0.25">
      <c r="A1032" s="2">
        <v>45898</v>
      </c>
      <c r="B1032" s="1">
        <v>2025</v>
      </c>
      <c r="C1032" s="1">
        <v>8</v>
      </c>
      <c r="D1032" s="1">
        <v>9.1098271760961396</v>
      </c>
      <c r="E1032" s="1" t="s">
        <v>131</v>
      </c>
    </row>
    <row r="1033" spans="1:5" x14ac:dyDescent="0.25">
      <c r="A1033" s="2">
        <v>45898</v>
      </c>
      <c r="B1033" s="1">
        <v>2025</v>
      </c>
      <c r="C1033" s="1">
        <v>8</v>
      </c>
      <c r="D1033" s="1">
        <v>57.483230000000006</v>
      </c>
      <c r="E1033" s="1" t="s">
        <v>5</v>
      </c>
    </row>
    <row r="1034" spans="1:5" x14ac:dyDescent="0.25">
      <c r="A1034" s="2">
        <v>45898</v>
      </c>
      <c r="B1034" s="1">
        <v>2025</v>
      </c>
      <c r="C1034" s="1">
        <v>8</v>
      </c>
      <c r="D1034" s="1">
        <v>57.395833333333336</v>
      </c>
      <c r="E1034" s="1" t="s">
        <v>132</v>
      </c>
    </row>
    <row r="1035" spans="1:5" x14ac:dyDescent="0.25">
      <c r="A1035" s="2">
        <v>45898</v>
      </c>
      <c r="B1035" s="1">
        <v>2025</v>
      </c>
      <c r="C1035" s="1">
        <v>8</v>
      </c>
      <c r="D1035" s="1">
        <v>449</v>
      </c>
      <c r="E1035" s="1" t="s">
        <v>7</v>
      </c>
    </row>
    <row r="1036" spans="1:5" x14ac:dyDescent="0.25">
      <c r="A1036" s="2">
        <v>45900</v>
      </c>
      <c r="B1036" s="1">
        <v>2025</v>
      </c>
      <c r="C1036" s="1">
        <v>8</v>
      </c>
      <c r="D1036" s="1">
        <v>51.51</v>
      </c>
      <c r="E1036" s="1" t="s">
        <v>11</v>
      </c>
    </row>
    <row r="1037" spans="1:5" x14ac:dyDescent="0.25">
      <c r="A1037" s="2">
        <v>45901</v>
      </c>
      <c r="B1037" s="1">
        <v>2025</v>
      </c>
      <c r="C1037" s="1">
        <v>9</v>
      </c>
      <c r="D1037" s="1">
        <v>-117.77366863905308</v>
      </c>
      <c r="E1037" s="1" t="s">
        <v>12</v>
      </c>
    </row>
    <row r="1038" spans="1:5" x14ac:dyDescent="0.25">
      <c r="A1038" s="2">
        <v>45901</v>
      </c>
      <c r="B1038" s="1">
        <v>2025</v>
      </c>
      <c r="C1038" s="1">
        <v>9</v>
      </c>
      <c r="D1038" s="1">
        <v>309</v>
      </c>
      <c r="E1038" s="1" t="s">
        <v>13</v>
      </c>
    </row>
    <row r="1039" spans="1:5" x14ac:dyDescent="0.25">
      <c r="A1039" s="2">
        <v>45901</v>
      </c>
      <c r="B1039" s="1">
        <v>2025</v>
      </c>
      <c r="C1039" s="1">
        <v>9</v>
      </c>
      <c r="D1039" s="1">
        <v>21877</v>
      </c>
      <c r="E1039" s="1" t="s">
        <v>8</v>
      </c>
    </row>
    <row r="1040" spans="1:5" x14ac:dyDescent="0.25">
      <c r="A1040" s="2">
        <v>45905</v>
      </c>
      <c r="B1040" s="1">
        <v>2025</v>
      </c>
      <c r="C1040" s="1">
        <v>9</v>
      </c>
      <c r="D1040" s="1">
        <v>10133.526372691467</v>
      </c>
      <c r="E1040" s="1" t="s">
        <v>130</v>
      </c>
    </row>
    <row r="1041" spans="1:5" x14ac:dyDescent="0.25">
      <c r="A1041" s="2">
        <v>45905</v>
      </c>
      <c r="B1041" s="1">
        <v>2025</v>
      </c>
      <c r="C1041" s="1">
        <v>9</v>
      </c>
      <c r="D1041" s="1">
        <v>410</v>
      </c>
      <c r="E1041" s="1" t="s">
        <v>7</v>
      </c>
    </row>
    <row r="1042" spans="1:5" x14ac:dyDescent="0.25">
      <c r="A1042" s="2">
        <v>45905</v>
      </c>
      <c r="B1042" s="1">
        <v>2025</v>
      </c>
      <c r="C1042" s="1">
        <v>9</v>
      </c>
      <c r="D1042" s="1">
        <v>71.25</v>
      </c>
      <c r="E1042" s="1" t="s">
        <v>133</v>
      </c>
    </row>
    <row r="1043" spans="1:5" x14ac:dyDescent="0.25">
      <c r="A1043" s="2">
        <v>45905</v>
      </c>
      <c r="B1043" s="1">
        <v>2025</v>
      </c>
      <c r="C1043" s="1">
        <v>9</v>
      </c>
      <c r="D1043" s="1">
        <v>35.125</v>
      </c>
      <c r="E1043" s="1" t="s">
        <v>134</v>
      </c>
    </row>
    <row r="1044" spans="1:5" x14ac:dyDescent="0.25">
      <c r="A1044" s="2">
        <v>45905</v>
      </c>
      <c r="B1044" s="1">
        <v>2025</v>
      </c>
      <c r="C1044" s="1">
        <v>9</v>
      </c>
      <c r="D1044" s="1">
        <v>55.208333333333336</v>
      </c>
      <c r="E1044" s="1" t="s">
        <v>132</v>
      </c>
    </row>
    <row r="1045" spans="1:5" x14ac:dyDescent="0.25">
      <c r="A1045" s="2">
        <v>45905</v>
      </c>
      <c r="B1045" s="1">
        <v>2025</v>
      </c>
      <c r="C1045" s="1">
        <v>9</v>
      </c>
      <c r="D1045" s="1">
        <v>30.833333333333332</v>
      </c>
      <c r="E1045" s="1" t="s">
        <v>136</v>
      </c>
    </row>
    <row r="1046" spans="1:5" x14ac:dyDescent="0.25">
      <c r="A1046" s="2">
        <v>45905</v>
      </c>
      <c r="B1046" s="1">
        <v>2025</v>
      </c>
      <c r="C1046" s="1">
        <v>9</v>
      </c>
      <c r="D1046" s="1">
        <v>57.907199999999996</v>
      </c>
      <c r="E1046" s="1" t="s">
        <v>5</v>
      </c>
    </row>
    <row r="1047" spans="1:5" x14ac:dyDescent="0.25">
      <c r="A1047" s="2">
        <v>45905</v>
      </c>
      <c r="B1047" s="1">
        <v>2025</v>
      </c>
      <c r="C1047" s="1">
        <v>9</v>
      </c>
      <c r="D1047" s="1">
        <v>9.1098271760961396</v>
      </c>
      <c r="E1047" s="1" t="s">
        <v>131</v>
      </c>
    </row>
    <row r="1048" spans="1:5" x14ac:dyDescent="0.25">
      <c r="A1048" s="2">
        <v>45912</v>
      </c>
      <c r="B1048" s="1">
        <v>2025</v>
      </c>
      <c r="C1048" s="1">
        <v>9</v>
      </c>
      <c r="D1048" s="1">
        <v>10235.275212691467</v>
      </c>
      <c r="E1048" s="1" t="s">
        <v>130</v>
      </c>
    </row>
    <row r="1049" spans="1:5" x14ac:dyDescent="0.25">
      <c r="A1049" s="2">
        <v>45912</v>
      </c>
      <c r="B1049" s="1">
        <v>2025</v>
      </c>
      <c r="C1049" s="1">
        <v>9</v>
      </c>
      <c r="D1049" s="1">
        <v>405</v>
      </c>
      <c r="E1049" s="1" t="s">
        <v>7</v>
      </c>
    </row>
    <row r="1050" spans="1:5" x14ac:dyDescent="0.25">
      <c r="A1050" s="2">
        <v>45912</v>
      </c>
      <c r="B1050" s="1">
        <v>2025</v>
      </c>
      <c r="C1050" s="1">
        <v>9</v>
      </c>
      <c r="D1050" s="1">
        <v>57.411800000000007</v>
      </c>
      <c r="E1050" s="1" t="s">
        <v>5</v>
      </c>
    </row>
    <row r="1051" spans="1:5" x14ac:dyDescent="0.25">
      <c r="A1051" s="2">
        <v>45912</v>
      </c>
      <c r="B1051" s="1">
        <v>2025</v>
      </c>
      <c r="C1051" s="1">
        <v>9</v>
      </c>
      <c r="D1051" s="1">
        <v>9.024303874761717</v>
      </c>
      <c r="E1051" s="1" t="s">
        <v>131</v>
      </c>
    </row>
    <row r="1052" spans="1:5" x14ac:dyDescent="0.25">
      <c r="A1052" s="2">
        <v>45912</v>
      </c>
      <c r="B1052" s="1">
        <v>2025</v>
      </c>
      <c r="C1052" s="1">
        <v>9</v>
      </c>
      <c r="D1052" s="1">
        <v>35</v>
      </c>
      <c r="E1052" s="1" t="s">
        <v>134</v>
      </c>
    </row>
    <row r="1053" spans="1:5" x14ac:dyDescent="0.25">
      <c r="A1053" s="2">
        <v>45912</v>
      </c>
      <c r="B1053" s="1">
        <v>2025</v>
      </c>
      <c r="C1053" s="1">
        <v>9</v>
      </c>
      <c r="D1053" s="1">
        <v>30.833333333333336</v>
      </c>
      <c r="E1053" s="1" t="s">
        <v>136</v>
      </c>
    </row>
    <row r="1054" spans="1:5" x14ac:dyDescent="0.25">
      <c r="A1054" s="2">
        <v>45912</v>
      </c>
      <c r="B1054" s="1">
        <v>2025</v>
      </c>
      <c r="C1054" s="1">
        <v>9</v>
      </c>
      <c r="D1054" s="1">
        <v>69.166666666666671</v>
      </c>
      <c r="E1054" s="1" t="s">
        <v>133</v>
      </c>
    </row>
    <row r="1055" spans="1:5" x14ac:dyDescent="0.25">
      <c r="A1055" s="2">
        <v>45912</v>
      </c>
      <c r="B1055" s="1">
        <v>2025</v>
      </c>
      <c r="C1055" s="1">
        <v>9</v>
      </c>
      <c r="D1055" s="1">
        <v>54.166666666666664</v>
      </c>
      <c r="E1055" s="1" t="s">
        <v>132</v>
      </c>
    </row>
    <row r="1056" spans="1:5" x14ac:dyDescent="0.25">
      <c r="A1056" s="2">
        <v>45915</v>
      </c>
      <c r="B1056" s="1">
        <v>2025</v>
      </c>
      <c r="C1056" s="1">
        <v>9</v>
      </c>
      <c r="D1056" s="1">
        <v>52.4</v>
      </c>
      <c r="E1056" s="1" t="s">
        <v>11</v>
      </c>
    </row>
    <row r="1057" spans="1:5" x14ac:dyDescent="0.25">
      <c r="A1057" s="2">
        <v>45919</v>
      </c>
      <c r="B1057" s="1">
        <v>2025</v>
      </c>
      <c r="C1057" s="1">
        <v>9</v>
      </c>
      <c r="D1057" s="1">
        <v>392.5</v>
      </c>
      <c r="E1057" s="1" t="s">
        <v>7</v>
      </c>
    </row>
    <row r="1058" spans="1:5" x14ac:dyDescent="0.25">
      <c r="A1058" s="2">
        <v>45919</v>
      </c>
      <c r="B1058" s="1">
        <v>2025</v>
      </c>
      <c r="C1058" s="1">
        <v>9</v>
      </c>
      <c r="D1058" s="1">
        <v>69.166666666666671</v>
      </c>
      <c r="E1058" s="1" t="s">
        <v>133</v>
      </c>
    </row>
    <row r="1059" spans="1:5" x14ac:dyDescent="0.25">
      <c r="A1059" s="2">
        <v>45919</v>
      </c>
      <c r="B1059" s="1">
        <v>2025</v>
      </c>
      <c r="C1059" s="1">
        <v>9</v>
      </c>
      <c r="D1059" s="1">
        <v>9840.6544793581343</v>
      </c>
      <c r="E1059" s="1" t="s">
        <v>130</v>
      </c>
    </row>
    <row r="1060" spans="1:5" x14ac:dyDescent="0.25">
      <c r="A1060" s="2">
        <v>45919</v>
      </c>
      <c r="B1060" s="1">
        <v>2025</v>
      </c>
      <c r="C1060" s="1">
        <v>9</v>
      </c>
      <c r="D1060" s="1">
        <v>37.125</v>
      </c>
      <c r="E1060" s="1" t="s">
        <v>134</v>
      </c>
    </row>
    <row r="1061" spans="1:5" x14ac:dyDescent="0.25">
      <c r="A1061" s="2">
        <v>45919</v>
      </c>
      <c r="B1061" s="1">
        <v>2025</v>
      </c>
      <c r="C1061" s="1">
        <v>9</v>
      </c>
      <c r="D1061" s="1">
        <v>50.833333333333329</v>
      </c>
      <c r="E1061" s="1" t="s">
        <v>132</v>
      </c>
    </row>
    <row r="1062" spans="1:5" x14ac:dyDescent="0.25">
      <c r="A1062" s="2">
        <v>45919</v>
      </c>
      <c r="B1062" s="1">
        <v>2025</v>
      </c>
      <c r="C1062" s="1">
        <v>9</v>
      </c>
      <c r="D1062" s="1">
        <v>9.2384312448937962</v>
      </c>
      <c r="E1062" s="1" t="s">
        <v>131</v>
      </c>
    </row>
    <row r="1063" spans="1:5" x14ac:dyDescent="0.25">
      <c r="A1063" s="2">
        <v>45931</v>
      </c>
      <c r="B1063" s="1">
        <v>2025</v>
      </c>
      <c r="C1063" s="1">
        <v>10</v>
      </c>
      <c r="D1063" s="1">
        <v>301</v>
      </c>
      <c r="E1063" s="1" t="s">
        <v>13</v>
      </c>
    </row>
    <row r="1064" spans="1:5" x14ac:dyDescent="0.25">
      <c r="A1064" s="2">
        <v>45962</v>
      </c>
      <c r="B1064" s="1">
        <v>2025</v>
      </c>
      <c r="C1064" s="1">
        <v>11</v>
      </c>
      <c r="D1064" s="1">
        <v>299</v>
      </c>
      <c r="E1064" s="1" t="s">
        <v>13</v>
      </c>
    </row>
    <row r="1065" spans="1:5" x14ac:dyDescent="0.25">
      <c r="A1065" s="2">
        <v>44958</v>
      </c>
      <c r="B1065" s="1">
        <v>2023</v>
      </c>
      <c r="C1065" s="1">
        <v>2</v>
      </c>
      <c r="D1065" s="1">
        <v>3638.0099000000005</v>
      </c>
      <c r="E1065" s="1" t="s">
        <v>6</v>
      </c>
    </row>
    <row r="1066" spans="1:5" x14ac:dyDescent="0.25">
      <c r="A1066" s="2">
        <v>45323</v>
      </c>
      <c r="B1066" s="1">
        <v>2024</v>
      </c>
      <c r="C1066" s="1">
        <v>2</v>
      </c>
      <c r="D1066" s="1">
        <v>2145.47552</v>
      </c>
      <c r="E1066" s="1" t="s">
        <v>6</v>
      </c>
    </row>
    <row r="1067" spans="1:5" x14ac:dyDescent="0.25">
      <c r="A1067" s="2">
        <v>45689</v>
      </c>
      <c r="B1067" s="1">
        <v>2025</v>
      </c>
      <c r="C1067" s="1">
        <v>2</v>
      </c>
      <c r="D1067" s="1">
        <v>613.22695499999998</v>
      </c>
      <c r="E1067" s="1" t="s">
        <v>6</v>
      </c>
    </row>
    <row r="1068" spans="1:5" x14ac:dyDescent="0.25">
      <c r="A1068" s="2">
        <v>44986</v>
      </c>
      <c r="B1068" s="1">
        <v>2023</v>
      </c>
      <c r="C1068" s="1">
        <v>3</v>
      </c>
      <c r="D1068" s="1">
        <v>3986.181204</v>
      </c>
      <c r="E1068" s="1" t="s">
        <v>6</v>
      </c>
    </row>
    <row r="1069" spans="1:5" x14ac:dyDescent="0.25">
      <c r="A1069" s="2">
        <v>45352</v>
      </c>
      <c r="B1069" s="1">
        <v>2024</v>
      </c>
      <c r="C1069" s="1">
        <v>3</v>
      </c>
      <c r="D1069" s="1">
        <v>1833.571412</v>
      </c>
      <c r="E1069" s="1" t="s">
        <v>6</v>
      </c>
    </row>
    <row r="1070" spans="1:5" x14ac:dyDescent="0.25">
      <c r="A1070" s="2">
        <v>45717</v>
      </c>
      <c r="B1070" s="1">
        <v>2025</v>
      </c>
      <c r="C1070" s="1">
        <v>3</v>
      </c>
      <c r="D1070" s="1">
        <v>-294.62061999999997</v>
      </c>
      <c r="E1070" s="1" t="s">
        <v>6</v>
      </c>
    </row>
    <row r="1071" spans="1:5" x14ac:dyDescent="0.25">
      <c r="A1071" s="2">
        <v>45017</v>
      </c>
      <c r="B1071" s="1">
        <v>2023</v>
      </c>
      <c r="C1071" s="1">
        <v>4</v>
      </c>
      <c r="D1071" s="1">
        <v>3651.7105700000002</v>
      </c>
      <c r="E1071" s="1" t="s">
        <v>6</v>
      </c>
    </row>
    <row r="1072" spans="1:5" x14ac:dyDescent="0.25">
      <c r="A1072" s="2">
        <v>45383</v>
      </c>
      <c r="B1072" s="1">
        <v>2024</v>
      </c>
      <c r="C1072" s="1">
        <v>4</v>
      </c>
      <c r="D1072" s="1">
        <v>1086.4258733333334</v>
      </c>
      <c r="E1072" s="1" t="s">
        <v>6</v>
      </c>
    </row>
    <row r="1073" spans="1:5" x14ac:dyDescent="0.25">
      <c r="A1073" s="2">
        <v>45748</v>
      </c>
      <c r="B1073" s="1">
        <v>2025</v>
      </c>
      <c r="C1073" s="1">
        <v>4</v>
      </c>
      <c r="D1073" s="1">
        <v>-331.30747000000002</v>
      </c>
      <c r="E1073" s="1" t="s">
        <v>6</v>
      </c>
    </row>
    <row r="1074" spans="1:5" x14ac:dyDescent="0.25">
      <c r="A1074" s="2">
        <v>45047</v>
      </c>
      <c r="B1074" s="1">
        <v>2023</v>
      </c>
      <c r="C1074" s="1">
        <v>5</v>
      </c>
      <c r="D1074" s="1">
        <v>2799.2970400000004</v>
      </c>
      <c r="E1074" s="1" t="s">
        <v>6</v>
      </c>
    </row>
    <row r="1075" spans="1:5" x14ac:dyDescent="0.25">
      <c r="A1075" s="2">
        <v>45413</v>
      </c>
      <c r="B1075" s="1">
        <v>2024</v>
      </c>
      <c r="C1075" s="1">
        <v>5</v>
      </c>
      <c r="D1075" s="1">
        <v>1675.4910500000001</v>
      </c>
      <c r="E1075" s="1" t="s">
        <v>6</v>
      </c>
    </row>
    <row r="1076" spans="1:5" x14ac:dyDescent="0.25">
      <c r="A1076" s="2">
        <v>45778</v>
      </c>
      <c r="B1076" s="1">
        <v>2025</v>
      </c>
      <c r="C1076" s="1">
        <v>5</v>
      </c>
      <c r="D1076" s="1">
        <v>-345.59205999999995</v>
      </c>
      <c r="E1076" s="1" t="s">
        <v>6</v>
      </c>
    </row>
    <row r="1077" spans="1:5" x14ac:dyDescent="0.25">
      <c r="A1077" s="2">
        <v>45078</v>
      </c>
      <c r="B1077" s="1">
        <v>2023</v>
      </c>
      <c r="C1077" s="1">
        <v>6</v>
      </c>
      <c r="D1077" s="1">
        <v>1576.416596</v>
      </c>
      <c r="E1077" s="1" t="s">
        <v>6</v>
      </c>
    </row>
    <row r="1078" spans="1:5" x14ac:dyDescent="0.25">
      <c r="A1078" s="2">
        <v>45444</v>
      </c>
      <c r="B1078" s="1">
        <v>2024</v>
      </c>
      <c r="C1078" s="1">
        <v>6</v>
      </c>
      <c r="D1078" s="1">
        <v>1491.8813849999999</v>
      </c>
      <c r="E1078" s="1" t="s">
        <v>6</v>
      </c>
    </row>
    <row r="1079" spans="1:5" x14ac:dyDescent="0.25">
      <c r="A1079" s="2">
        <v>45809</v>
      </c>
      <c r="B1079" s="1">
        <v>2025</v>
      </c>
      <c r="C1079" s="1">
        <v>6</v>
      </c>
      <c r="D1079" s="1">
        <v>-157.23521333333335</v>
      </c>
      <c r="E1079" s="1" t="s">
        <v>6</v>
      </c>
    </row>
    <row r="1080" spans="1:5" x14ac:dyDescent="0.25">
      <c r="A1080" s="2">
        <v>45108</v>
      </c>
      <c r="B1080" s="1">
        <v>2023</v>
      </c>
      <c r="C1080" s="1">
        <v>7</v>
      </c>
      <c r="D1080" s="1">
        <v>2287.0538150000002</v>
      </c>
      <c r="E1080" s="1" t="s">
        <v>6</v>
      </c>
    </row>
    <row r="1081" spans="1:5" x14ac:dyDescent="0.25">
      <c r="A1081" s="2">
        <v>45474</v>
      </c>
      <c r="B1081" s="1">
        <v>2024</v>
      </c>
      <c r="C1081" s="1">
        <v>7</v>
      </c>
      <c r="D1081" s="1">
        <v>1511.1449299999999</v>
      </c>
      <c r="E1081" s="1" t="s">
        <v>6</v>
      </c>
    </row>
    <row r="1082" spans="1:5" x14ac:dyDescent="0.25">
      <c r="A1082" s="2">
        <v>45839</v>
      </c>
      <c r="B1082" s="1">
        <v>2025</v>
      </c>
      <c r="C1082" s="1">
        <v>7</v>
      </c>
      <c r="D1082" s="1">
        <v>-77.911550000000005</v>
      </c>
      <c r="E1082" s="1" t="s">
        <v>6</v>
      </c>
    </row>
    <row r="1083" spans="1:5" x14ac:dyDescent="0.25">
      <c r="A1083" s="2">
        <v>45139</v>
      </c>
      <c r="B1083" s="1">
        <v>2023</v>
      </c>
      <c r="C1083" s="1">
        <v>8</v>
      </c>
      <c r="D1083" s="1">
        <v>2500.4038599999999</v>
      </c>
      <c r="E1083" s="1" t="s">
        <v>6</v>
      </c>
    </row>
    <row r="1084" spans="1:5" x14ac:dyDescent="0.25">
      <c r="A1084" s="2">
        <v>45505</v>
      </c>
      <c r="B1084" s="1">
        <v>2024</v>
      </c>
      <c r="C1084" s="1">
        <v>8</v>
      </c>
      <c r="D1084" s="1">
        <v>1568.2868120000001</v>
      </c>
      <c r="E1084" s="1" t="s">
        <v>6</v>
      </c>
    </row>
    <row r="1085" spans="1:5" x14ac:dyDescent="0.25">
      <c r="A1085" s="2">
        <v>45870</v>
      </c>
      <c r="B1085" s="1">
        <v>2025</v>
      </c>
      <c r="C1085" s="1">
        <v>8</v>
      </c>
      <c r="D1085" s="1">
        <v>1122.9391760000001</v>
      </c>
      <c r="E1085" s="1" t="s">
        <v>6</v>
      </c>
    </row>
    <row r="1086" spans="1:5" x14ac:dyDescent="0.25">
      <c r="A1086" s="2">
        <v>45170</v>
      </c>
      <c r="B1086" s="1">
        <v>2023</v>
      </c>
      <c r="C1086" s="1">
        <v>9</v>
      </c>
      <c r="D1086" s="1">
        <v>3235.0055499999999</v>
      </c>
      <c r="E1086" s="1" t="s">
        <v>6</v>
      </c>
    </row>
    <row r="1087" spans="1:5" x14ac:dyDescent="0.25">
      <c r="A1087" s="2">
        <v>45536</v>
      </c>
      <c r="B1087" s="1">
        <v>2024</v>
      </c>
      <c r="C1087" s="1">
        <v>9</v>
      </c>
      <c r="D1087" s="1">
        <v>1873.4998199999998</v>
      </c>
      <c r="E1087" s="1" t="s">
        <v>6</v>
      </c>
    </row>
    <row r="1088" spans="1:5" x14ac:dyDescent="0.25">
      <c r="A1088" s="2">
        <v>45901</v>
      </c>
      <c r="B1088" s="1">
        <v>2025</v>
      </c>
      <c r="C1088" s="1">
        <v>9</v>
      </c>
      <c r="D1088" s="1">
        <v>1270.1108066666666</v>
      </c>
      <c r="E1088" s="1" t="s">
        <v>6</v>
      </c>
    </row>
    <row r="1089" spans="1:5" x14ac:dyDescent="0.25">
      <c r="A1089" s="2">
        <v>45200</v>
      </c>
      <c r="B1089" s="1">
        <v>2023</v>
      </c>
      <c r="C1089" s="1">
        <v>10</v>
      </c>
      <c r="D1089" s="1">
        <v>3891.4336400000002</v>
      </c>
      <c r="E1089" s="1" t="s">
        <v>6</v>
      </c>
    </row>
    <row r="1090" spans="1:5" x14ac:dyDescent="0.25">
      <c r="A1090" s="2">
        <v>45566</v>
      </c>
      <c r="B1090" s="1">
        <v>2024</v>
      </c>
      <c r="C1090" s="1">
        <v>10</v>
      </c>
      <c r="D1090" s="1">
        <v>2616.2241899999999</v>
      </c>
      <c r="E1090" s="1" t="s">
        <v>6</v>
      </c>
    </row>
    <row r="1091" spans="1:5" x14ac:dyDescent="0.25">
      <c r="A1091" s="2">
        <v>45231</v>
      </c>
      <c r="B1091" s="1">
        <v>2023</v>
      </c>
      <c r="C1091" s="1">
        <v>11</v>
      </c>
      <c r="D1091" s="1">
        <v>2914.8761549999999</v>
      </c>
      <c r="E1091" s="1" t="s">
        <v>6</v>
      </c>
    </row>
    <row r="1092" spans="1:5" x14ac:dyDescent="0.25">
      <c r="A1092" s="2">
        <v>45597</v>
      </c>
      <c r="B1092" s="1">
        <v>2024</v>
      </c>
      <c r="C1092" s="1">
        <v>11</v>
      </c>
      <c r="D1092" s="1">
        <v>2870.413532</v>
      </c>
      <c r="E1092" s="1" t="s">
        <v>6</v>
      </c>
    </row>
    <row r="1093" spans="1:5" x14ac:dyDescent="0.25">
      <c r="A1093" s="2">
        <v>45261</v>
      </c>
      <c r="B1093" s="1">
        <v>2023</v>
      </c>
      <c r="C1093" s="1">
        <v>12</v>
      </c>
      <c r="D1093" s="1">
        <v>2498.2964133333335</v>
      </c>
      <c r="E1093" s="1" t="s">
        <v>6</v>
      </c>
    </row>
    <row r="1094" spans="1:5" x14ac:dyDescent="0.25">
      <c r="A1094" s="2">
        <v>45627</v>
      </c>
      <c r="B1094" s="1">
        <v>2024</v>
      </c>
      <c r="C1094" s="1">
        <v>12</v>
      </c>
      <c r="D1094" s="1">
        <v>2301.0709200000001</v>
      </c>
      <c r="E1094" s="1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C22"/>
  <sheetViews>
    <sheetView zoomScale="85" zoomScaleNormal="85" workbookViewId="0">
      <pane xSplit="1" ySplit="1" topLeftCell="IV2" activePane="bottomRight" state="frozen"/>
      <selection pane="topRight" activeCell="B1" sqref="B1"/>
      <selection pane="bottomLeft" activeCell="A2" sqref="A2"/>
      <selection pane="bottomRight" activeCell="JK15" sqref="JK1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15" width="8.7109375" bestFit="1" customWidth="1"/>
  </cols>
  <sheetData>
    <row r="1" spans="1:315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</row>
    <row r="2" spans="1:315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62.812583967626026</v>
      </c>
      <c r="KM2" s="24" t="str">
        <f>[13]Week!KP$44</f>
        <v/>
      </c>
      <c r="KN2" s="24" t="str">
        <f>[13]Week!KQ$44</f>
        <v/>
      </c>
      <c r="KO2" s="24" t="str">
        <f>[13]Week!KR$44</f>
        <v/>
      </c>
      <c r="KP2" s="24" t="str">
        <f>[13]Week!KS$44</f>
        <v/>
      </c>
      <c r="KQ2" s="24" t="str">
        <f>[13]Week!KT$44</f>
        <v/>
      </c>
      <c r="KR2" s="24" t="str">
        <f>[13]Week!KU$44</f>
        <v/>
      </c>
      <c r="KS2" s="24" t="str">
        <f>[13]Week!KV$44</f>
        <v/>
      </c>
      <c r="KT2" s="24" t="str">
        <f>[13]Week!KW$44</f>
        <v/>
      </c>
      <c r="KU2" s="24" t="str">
        <f>[13]Week!KX$44</f>
        <v/>
      </c>
      <c r="KV2" s="24" t="str">
        <f>[13]Week!KY$44</f>
        <v/>
      </c>
      <c r="KW2" s="24" t="str">
        <f>[13]Week!KZ$44</f>
        <v/>
      </c>
      <c r="KX2" s="24" t="str">
        <f>[13]Week!LA$44</f>
        <v/>
      </c>
      <c r="KY2" s="24" t="str">
        <f>[13]Week!LB$44</f>
        <v/>
      </c>
      <c r="KZ2" s="24" t="str">
        <f>[13]Week!LC$44</f>
        <v/>
      </c>
      <c r="LA2" s="24" t="str">
        <f>[13]Week!LD$44</f>
        <v/>
      </c>
      <c r="LB2" s="24" t="str">
        <f>[13]Week!LE$44</f>
        <v/>
      </c>
      <c r="LC2" s="24" t="str">
        <f>[13]Week!LF$44</f>
        <v/>
      </c>
    </row>
    <row r="3" spans="1:315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 t="str">
        <f>[14]W_avg!BNS$9</f>
        <v/>
      </c>
      <c r="KP3" s="24" t="str">
        <f>[14]W_avg!BNT$9</f>
        <v/>
      </c>
      <c r="KQ3" s="24" t="str">
        <f>[14]W_avg!BNU$9</f>
        <v/>
      </c>
      <c r="KR3" s="24" t="str">
        <f>[14]W_avg!BNV$9</f>
        <v/>
      </c>
      <c r="KS3" s="24" t="str">
        <f>[14]W_avg!BNW$9</f>
        <v/>
      </c>
      <c r="KT3" s="24" t="str">
        <f>[14]W_avg!BNX$9</f>
        <v/>
      </c>
      <c r="KU3" s="24" t="str">
        <f>[14]W_avg!BNY$9</f>
        <v/>
      </c>
      <c r="KV3" s="24" t="str">
        <f>[14]W_avg!BNZ$9</f>
        <v/>
      </c>
      <c r="KW3" s="24" t="str">
        <f>[14]W_avg!BOA$9</f>
        <v/>
      </c>
      <c r="KX3" s="24" t="str">
        <f>[14]W_avg!BOB$9</f>
        <v/>
      </c>
      <c r="KY3" s="24" t="str">
        <f>[14]W_avg!BOC$9</f>
        <v/>
      </c>
      <c r="KZ3" s="24" t="str">
        <f>[14]W_avg!BOD$9</f>
        <v/>
      </c>
      <c r="LA3" s="24" t="str">
        <f>[14]W_avg!BOE$9</f>
        <v/>
      </c>
      <c r="LB3" s="24" t="str">
        <f>[14]W_avg!BOF$9</f>
        <v/>
      </c>
      <c r="LC3" s="24" t="str">
        <f>[14]W_avg!BOG$9</f>
        <v/>
      </c>
    </row>
    <row r="4" spans="1:315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LC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62.812583967626026</v>
      </c>
      <c r="KY4" s="24" t="str">
        <f t="shared" si="4"/>
        <v/>
      </c>
      <c r="KZ4" s="24" t="str">
        <f t="shared" si="4"/>
        <v/>
      </c>
      <c r="LA4" s="24" t="str">
        <f t="shared" si="4"/>
        <v/>
      </c>
      <c r="LB4" s="24" t="str">
        <f t="shared" si="4"/>
        <v/>
      </c>
      <c r="LC4" s="24" t="str">
        <f t="shared" si="4"/>
        <v/>
      </c>
    </row>
    <row r="5" spans="1:315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56.573601125098008</v>
      </c>
      <c r="JX5" s="24">
        <f>[13]Week!KA$52</f>
        <v>56.065757499484697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59.209518853217709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58.004929878428015</v>
      </c>
      <c r="KF5" s="24">
        <f>[13]Week!KI$52</f>
        <v>57.846656872113286</v>
      </c>
      <c r="KG5" s="24">
        <f>[13]Week!KJ$52</f>
        <v>58.095748336612381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57.561022098677334</v>
      </c>
      <c r="KM5" s="24" t="str">
        <f>[13]Week!KP$52</f>
        <v/>
      </c>
      <c r="KN5" s="24" t="str">
        <f>[13]Week!KQ$52</f>
        <v/>
      </c>
      <c r="KO5" s="24" t="str">
        <f>[13]Week!KR$52</f>
        <v/>
      </c>
      <c r="KP5" s="24" t="str">
        <f>[13]Week!KS$52</f>
        <v/>
      </c>
      <c r="KQ5" s="24" t="str">
        <f>[13]Week!KT$52</f>
        <v/>
      </c>
      <c r="KR5" s="24" t="str">
        <f>[13]Week!KU$52</f>
        <v/>
      </c>
      <c r="KS5" s="24" t="str">
        <f>[13]Week!KV$52</f>
        <v/>
      </c>
      <c r="KT5" s="24" t="str">
        <f>[13]Week!KW$52</f>
        <v/>
      </c>
      <c r="KU5" s="24" t="str">
        <f>[13]Week!KX$52</f>
        <v/>
      </c>
      <c r="KV5" s="24" t="str">
        <f>[13]Week!KY$52</f>
        <v/>
      </c>
      <c r="KW5" s="24" t="str">
        <f>[13]Week!KZ$52</f>
        <v/>
      </c>
      <c r="KX5" s="24" t="str">
        <f>[13]Week!LA$52</f>
        <v/>
      </c>
      <c r="KY5" s="24" t="str">
        <f>[13]Week!LB$52</f>
        <v/>
      </c>
      <c r="KZ5" s="24" t="str">
        <f>[13]Week!LC$52</f>
        <v/>
      </c>
      <c r="LA5" s="24" t="str">
        <f>[13]Week!LD$52</f>
        <v/>
      </c>
      <c r="LB5" s="24" t="str">
        <f>[13]Week!LE$52</f>
        <v/>
      </c>
      <c r="LC5" s="24" t="str">
        <f>[13]Week!LF$52</f>
        <v/>
      </c>
    </row>
    <row r="6" spans="1:315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63.516953488054277</v>
      </c>
      <c r="JU6" s="24">
        <f>[13]Week!JX$56</f>
        <v>62.007582390354955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 t="str">
        <f>[13]Week!KP$56</f>
        <v/>
      </c>
      <c r="KN6" s="24" t="str">
        <f>[13]Week!KQ$56</f>
        <v/>
      </c>
      <c r="KO6" s="24" t="str">
        <f>[13]Week!KR$56</f>
        <v/>
      </c>
      <c r="KP6" s="24" t="str">
        <f>[13]Week!KS$56</f>
        <v/>
      </c>
      <c r="KQ6" s="24" t="str">
        <f>[13]Week!KT$56</f>
        <v/>
      </c>
      <c r="KR6" s="24" t="str">
        <f>[13]Week!KU$56</f>
        <v/>
      </c>
      <c r="KS6" s="24" t="str">
        <f>[13]Week!KV$56</f>
        <v/>
      </c>
      <c r="KT6" s="24" t="str">
        <f>[13]Week!KW$56</f>
        <v/>
      </c>
      <c r="KU6" s="24" t="str">
        <f>[13]Week!KX$56</f>
        <v/>
      </c>
      <c r="KV6" s="24" t="str">
        <f>[13]Week!KY$56</f>
        <v/>
      </c>
      <c r="KW6" s="24" t="str">
        <f>[13]Week!KZ$56</f>
        <v/>
      </c>
      <c r="KX6" s="24" t="str">
        <f>[13]Week!LA$56</f>
        <v/>
      </c>
      <c r="KY6" s="24" t="str">
        <f>[13]Week!LB$56</f>
        <v/>
      </c>
      <c r="KZ6" s="24" t="str">
        <f>[13]Week!LC$56</f>
        <v/>
      </c>
      <c r="LA6" s="24" t="str">
        <f>[13]Week!LD$56</f>
        <v/>
      </c>
      <c r="LB6" s="24" t="str">
        <f>[13]Week!LE$56</f>
        <v/>
      </c>
      <c r="LC6" s="24" t="str">
        <f>[13]Week!LF$56</f>
        <v/>
      </c>
    </row>
    <row r="7" spans="1:315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60.297615284776349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 t="str">
        <f>[13]Week!KP$60</f>
        <v/>
      </c>
      <c r="KN7" s="24" t="str">
        <f>[13]Week!KQ$60</f>
        <v/>
      </c>
      <c r="KO7" s="24" t="str">
        <f>[13]Week!KR$60</f>
        <v/>
      </c>
      <c r="KP7" s="24" t="str">
        <f>[13]Week!KS$60</f>
        <v/>
      </c>
      <c r="KQ7" s="24" t="str">
        <f>[13]Week!KT$60</f>
        <v/>
      </c>
      <c r="KR7" s="24" t="str">
        <f>[13]Week!KU$60</f>
        <v/>
      </c>
      <c r="KS7" s="24" t="str">
        <f>[13]Week!KV$60</f>
        <v/>
      </c>
      <c r="KT7" s="24" t="str">
        <f>[13]Week!KW$60</f>
        <v/>
      </c>
      <c r="KU7" s="24" t="str">
        <f>[13]Week!KX$60</f>
        <v/>
      </c>
      <c r="KV7" s="24" t="str">
        <f>[13]Week!KY$60</f>
        <v/>
      </c>
      <c r="KW7" s="24" t="str">
        <f>[13]Week!KZ$60</f>
        <v/>
      </c>
      <c r="KX7" s="24" t="str">
        <f>[13]Week!LA$60</f>
        <v/>
      </c>
      <c r="KY7" s="24" t="str">
        <f>[13]Week!LB$60</f>
        <v/>
      </c>
      <c r="KZ7" s="24" t="str">
        <f>[13]Week!LC$60</f>
        <v/>
      </c>
      <c r="LA7" s="24" t="str">
        <f>[13]Week!LD$60</f>
        <v/>
      </c>
      <c r="LB7" s="24" t="str">
        <f>[13]Week!LE$60</f>
        <v/>
      </c>
      <c r="LC7" s="24" t="str">
        <f>[13]Week!LF$60</f>
        <v/>
      </c>
    </row>
    <row r="8" spans="1:315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73.791916373457624</v>
      </c>
      <c r="KM8" s="24" t="str">
        <f>[13]Week!KP$48</f>
        <v/>
      </c>
      <c r="KN8" s="24" t="str">
        <f>[13]Week!KQ$48</f>
        <v/>
      </c>
      <c r="KO8" s="24" t="str">
        <f>[13]Week!KR$48</f>
        <v/>
      </c>
      <c r="KP8" s="24" t="str">
        <f>[13]Week!KS$48</f>
        <v/>
      </c>
      <c r="KQ8" s="24" t="str">
        <f>[13]Week!KT$48</f>
        <v/>
      </c>
      <c r="KR8" s="24" t="str">
        <f>[13]Week!KU$48</f>
        <v/>
      </c>
      <c r="KS8" s="24" t="str">
        <f>[13]Week!KV$48</f>
        <v/>
      </c>
      <c r="KT8" s="24" t="str">
        <f>[13]Week!KW$48</f>
        <v/>
      </c>
      <c r="KU8" s="24" t="str">
        <f>[13]Week!KX$48</f>
        <v/>
      </c>
      <c r="KV8" s="24" t="str">
        <f>[13]Week!KY$48</f>
        <v/>
      </c>
      <c r="KW8" s="24" t="str">
        <f>[13]Week!KZ$48</f>
        <v/>
      </c>
      <c r="KX8" s="24" t="str">
        <f>[13]Week!LA$48</f>
        <v/>
      </c>
      <c r="KY8" s="24" t="str">
        <f>[13]Week!LB$48</f>
        <v/>
      </c>
      <c r="KZ8" s="24" t="str">
        <f>[13]Week!LC$48</f>
        <v/>
      </c>
      <c r="LA8" s="24" t="str">
        <f>[13]Week!LD$48</f>
        <v/>
      </c>
      <c r="LB8" s="24" t="str">
        <f>[13]Week!LE$48</f>
        <v/>
      </c>
      <c r="LC8" s="24" t="str">
        <f>[13]Week!LF$48</f>
        <v/>
      </c>
    </row>
    <row r="9" spans="1:315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 t="str">
        <f>[13]Week!KP$27</f>
        <v/>
      </c>
      <c r="KN9" s="24" t="str">
        <f>[13]Week!KQ$27</f>
        <v/>
      </c>
      <c r="KO9" s="24" t="str">
        <f>[13]Week!KR$27</f>
        <v/>
      </c>
      <c r="KP9" s="24" t="str">
        <f>[13]Week!KS$27</f>
        <v/>
      </c>
      <c r="KQ9" s="24" t="str">
        <f>[13]Week!KT$27</f>
        <v/>
      </c>
      <c r="KR9" s="24" t="str">
        <f>[13]Week!KU$27</f>
        <v/>
      </c>
      <c r="KS9" s="24" t="str">
        <f>[13]Week!KV$27</f>
        <v/>
      </c>
      <c r="KT9" s="24" t="str">
        <f>[13]Week!KW$27</f>
        <v/>
      </c>
      <c r="KU9" s="24" t="str">
        <f>[13]Week!KX$27</f>
        <v/>
      </c>
      <c r="KV9" s="24" t="str">
        <f>[13]Week!KY$27</f>
        <v/>
      </c>
      <c r="KW9" s="24" t="str">
        <f>[13]Week!KZ$27</f>
        <v/>
      </c>
      <c r="KX9" s="24" t="str">
        <f>[13]Week!LA$27</f>
        <v/>
      </c>
      <c r="KY9" s="24" t="str">
        <f>[13]Week!LB$27</f>
        <v/>
      </c>
      <c r="KZ9" s="24" t="str">
        <f>[13]Week!LC$27</f>
        <v/>
      </c>
      <c r="LA9" s="24" t="str">
        <f>[13]Week!LD$27</f>
        <v/>
      </c>
      <c r="LB9" s="24" t="str">
        <f>[13]Week!LE$27</f>
        <v/>
      </c>
      <c r="LC9" s="24" t="str">
        <f>[13]Week!LF$27</f>
        <v/>
      </c>
    </row>
    <row r="10" spans="1:315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70.290140529001093</v>
      </c>
      <c r="KM10" s="24" t="str">
        <f>'[13]Week Global'!KP$44</f>
        <v/>
      </c>
      <c r="KN10" s="24" t="str">
        <f>'[13]Week Global'!KQ$44</f>
        <v/>
      </c>
      <c r="KO10" s="24" t="str">
        <f>'[13]Week Global'!KR$44</f>
        <v/>
      </c>
      <c r="KP10" s="24" t="str">
        <f>'[13]Week Global'!KS$44</f>
        <v/>
      </c>
      <c r="KQ10" s="24" t="str">
        <f>'[13]Week Global'!KT$44</f>
        <v/>
      </c>
      <c r="KR10" s="24" t="str">
        <f>'[13]Week Global'!KU$44</f>
        <v/>
      </c>
      <c r="KS10" s="24" t="str">
        <f>'[13]Week Global'!KV$44</f>
        <v/>
      </c>
      <c r="KT10" s="24" t="str">
        <f>'[13]Week Global'!KW$44</f>
        <v/>
      </c>
      <c r="KU10" s="24" t="str">
        <f>'[13]Week Global'!KX$44</f>
        <v/>
      </c>
      <c r="KV10" s="24" t="str">
        <f>'[13]Week Global'!KY$44</f>
        <v/>
      </c>
      <c r="KW10" s="24" t="str">
        <f>'[13]Week Global'!KZ$44</f>
        <v/>
      </c>
      <c r="KX10" s="24" t="str">
        <f>'[13]Week Global'!LA$44</f>
        <v/>
      </c>
      <c r="KY10" s="24" t="str">
        <f>'[13]Week Global'!LB$44</f>
        <v/>
      </c>
      <c r="KZ10" s="24" t="str">
        <f>'[13]Week Global'!LC$44</f>
        <v/>
      </c>
      <c r="LA10" s="24" t="str">
        <f>'[13]Week Global'!LD$44</f>
        <v/>
      </c>
      <c r="LB10" s="24" t="str">
        <f>'[13]Week Global'!LE$44</f>
        <v/>
      </c>
      <c r="LC10" s="24" t="str">
        <f>'[13]Week Global'!LF$44</f>
        <v/>
      </c>
    </row>
    <row r="11" spans="1:315" x14ac:dyDescent="0.25">
      <c r="A11" s="25" t="s">
        <v>97</v>
      </c>
      <c r="B11" s="24">
        <f t="shared" ref="B11:BM11" si="5">-(B2/B10*100-100)</f>
        <v>1.6763469080941604</v>
      </c>
      <c r="C11" s="24">
        <f t="shared" si="5"/>
        <v>1.039875658761872</v>
      </c>
      <c r="D11" s="24">
        <f t="shared" si="5"/>
        <v>0.70483972007099283</v>
      </c>
      <c r="E11" s="24">
        <f t="shared" si="5"/>
        <v>-1.3721884780796074</v>
      </c>
      <c r="F11" s="24">
        <f t="shared" si="5"/>
        <v>-5.0241948483231766</v>
      </c>
      <c r="G11" s="24">
        <f t="shared" si="5"/>
        <v>-1.7063408895364915</v>
      </c>
      <c r="H11" s="24">
        <f t="shared" si="5"/>
        <v>-0.5131821970358601</v>
      </c>
      <c r="I11" s="24">
        <f t="shared" si="5"/>
        <v>1.6821127087664536</v>
      </c>
      <c r="J11" s="24">
        <f t="shared" si="5"/>
        <v>-4.1160722946982844</v>
      </c>
      <c r="K11" s="24">
        <f t="shared" si="5"/>
        <v>15.367157336940551</v>
      </c>
      <c r="L11" s="24">
        <f t="shared" si="5"/>
        <v>0.2622649300010238</v>
      </c>
      <c r="M11" s="24">
        <f t="shared" si="5"/>
        <v>-10.88497685519873</v>
      </c>
      <c r="N11" s="24">
        <f t="shared" si="5"/>
        <v>-12.998105794598459</v>
      </c>
      <c r="O11" s="24">
        <f t="shared" si="5"/>
        <v>15.910173667324869</v>
      </c>
      <c r="P11" s="24">
        <f t="shared" si="5"/>
        <v>19.304872525190447</v>
      </c>
      <c r="Q11" s="24">
        <f t="shared" si="5"/>
        <v>14.37492306243206</v>
      </c>
      <c r="R11" s="24">
        <f t="shared" si="5"/>
        <v>0.88094932481045873</v>
      </c>
      <c r="S11" s="24">
        <f t="shared" si="5"/>
        <v>-15.106808163888516</v>
      </c>
      <c r="T11" s="24">
        <f t="shared" si="5"/>
        <v>-3.3443831548474918</v>
      </c>
      <c r="U11" s="24">
        <f t="shared" si="5"/>
        <v>-1.9577634965995117</v>
      </c>
      <c r="V11" s="24">
        <f t="shared" si="5"/>
        <v>4.3006174998856608</v>
      </c>
      <c r="W11" s="24">
        <f t="shared" si="5"/>
        <v>4.8415694848040687</v>
      </c>
      <c r="X11" s="24">
        <f t="shared" si="5"/>
        <v>0.54238254286718757</v>
      </c>
      <c r="Y11" s="24">
        <f t="shared" si="5"/>
        <v>-0.74418174630244494</v>
      </c>
      <c r="Z11" s="24">
        <f t="shared" si="5"/>
        <v>0.63168744119074915</v>
      </c>
      <c r="AA11" s="24">
        <f t="shared" si="5"/>
        <v>0.70213498155199261</v>
      </c>
      <c r="AB11" s="24">
        <f t="shared" si="5"/>
        <v>-2.0297244809702732</v>
      </c>
      <c r="AC11" s="24">
        <f t="shared" si="5"/>
        <v>-0.42805304896187124</v>
      </c>
      <c r="AD11" s="24">
        <f t="shared" si="5"/>
        <v>-1.405075019569324E-2</v>
      </c>
      <c r="AE11" s="24">
        <f t="shared" si="5"/>
        <v>0.60859089671012612</v>
      </c>
      <c r="AF11" s="24">
        <f t="shared" si="5"/>
        <v>0.1311024644210903</v>
      </c>
      <c r="AG11" s="24">
        <f t="shared" si="5"/>
        <v>-0.20127343675835618</v>
      </c>
      <c r="AH11" s="24">
        <f t="shared" si="5"/>
        <v>-0.1989354950313782</v>
      </c>
      <c r="AI11" s="24">
        <f t="shared" si="5"/>
        <v>0.41920557220184662</v>
      </c>
      <c r="AJ11" s="24">
        <f t="shared" si="5"/>
        <v>0.4871678594031863</v>
      </c>
      <c r="AK11" s="24">
        <f t="shared" si="5"/>
        <v>1.4115699782700375</v>
      </c>
      <c r="AL11" s="24">
        <f t="shared" si="5"/>
        <v>-2.7478668524607315</v>
      </c>
      <c r="AM11" s="24">
        <f t="shared" si="5"/>
        <v>0.4184782172287953</v>
      </c>
      <c r="AN11" s="24">
        <f t="shared" si="5"/>
        <v>0.61456374467667274</v>
      </c>
      <c r="AO11" s="24">
        <f t="shared" si="5"/>
        <v>-1.2385137267970805</v>
      </c>
      <c r="AP11" s="24">
        <f t="shared" si="5"/>
        <v>1.5517338598091186</v>
      </c>
      <c r="AQ11" s="24">
        <f t="shared" si="5"/>
        <v>1.5780478890586807</v>
      </c>
      <c r="AR11" s="24">
        <f t="shared" si="5"/>
        <v>1.9352318361849683</v>
      </c>
      <c r="AS11" s="24">
        <f t="shared" si="5"/>
        <v>-2.2568077507340263</v>
      </c>
      <c r="AT11" s="24">
        <f t="shared" si="5"/>
        <v>-4.7477403180921556</v>
      </c>
      <c r="AU11" s="24">
        <f t="shared" si="5"/>
        <v>-0.81983753613256738</v>
      </c>
      <c r="AV11" s="24">
        <f t="shared" si="5"/>
        <v>0.62146427304305973</v>
      </c>
      <c r="AW11" s="24">
        <f t="shared" si="5"/>
        <v>4.7086295211320532</v>
      </c>
      <c r="AX11" s="24">
        <f t="shared" si="5"/>
        <v>-2.2591733545480395</v>
      </c>
      <c r="AY11" s="24">
        <f t="shared" si="5"/>
        <v>-0.40690789984057574</v>
      </c>
      <c r="AZ11" s="24">
        <f t="shared" si="5"/>
        <v>2.3937625659954449</v>
      </c>
      <c r="BA11" s="24">
        <f t="shared" si="5"/>
        <v>2.3869239888867213</v>
      </c>
      <c r="BB11" s="24">
        <f t="shared" si="5"/>
        <v>-4.8520949892022429</v>
      </c>
      <c r="BC11" s="24">
        <f t="shared" si="5"/>
        <v>-1.4946516284775981</v>
      </c>
      <c r="BD11" s="24">
        <f t="shared" si="5"/>
        <v>0.37546162895718282</v>
      </c>
      <c r="BE11" s="24">
        <f t="shared" si="5"/>
        <v>0.51938998164581562</v>
      </c>
      <c r="BF11" s="24">
        <f t="shared" si="5"/>
        <v>1.411033117182896</v>
      </c>
      <c r="BG11" s="24">
        <f t="shared" si="5"/>
        <v>-2.6068936303510526</v>
      </c>
      <c r="BH11" s="24">
        <f t="shared" si="5"/>
        <v>0.42639505652327614</v>
      </c>
      <c r="BI11" s="24">
        <f t="shared" si="5"/>
        <v>1.6947445639087135</v>
      </c>
      <c r="BJ11" s="24">
        <f t="shared" si="5"/>
        <v>3.3755433788166016</v>
      </c>
      <c r="BK11" s="24">
        <f t="shared" si="5"/>
        <v>1.1710390039736325</v>
      </c>
      <c r="BL11" s="24">
        <f t="shared" si="5"/>
        <v>2.7002152685331566</v>
      </c>
      <c r="BM11" s="24">
        <f t="shared" si="5"/>
        <v>1.013888891363834</v>
      </c>
      <c r="BN11" s="24">
        <f t="shared" ref="BN11:DY11" si="6">-(BN2/BN10*100-100)</f>
        <v>0.14213154505449666</v>
      </c>
      <c r="BO11" s="24">
        <f t="shared" si="6"/>
        <v>0.37076568975777491</v>
      </c>
      <c r="BP11" s="24">
        <f t="shared" si="6"/>
        <v>-0.69333673954483288</v>
      </c>
      <c r="BQ11" s="24">
        <f t="shared" si="6"/>
        <v>1.1483180792884866</v>
      </c>
      <c r="BR11" s="24">
        <f t="shared" si="6"/>
        <v>1.6929749219997206</v>
      </c>
      <c r="BS11" s="24">
        <f t="shared" si="6"/>
        <v>2.6104409572360652</v>
      </c>
      <c r="BT11" s="24">
        <f t="shared" si="6"/>
        <v>1.1051320203130643</v>
      </c>
      <c r="BU11" s="24">
        <f t="shared" si="6"/>
        <v>1.6771591190204447</v>
      </c>
      <c r="BV11" s="24">
        <f t="shared" si="6"/>
        <v>0.44084335882791947</v>
      </c>
      <c r="BW11" s="24">
        <f t="shared" si="6"/>
        <v>3.0657986829050117</v>
      </c>
      <c r="BX11" s="24">
        <f t="shared" si="6"/>
        <v>0.14469404001886232</v>
      </c>
      <c r="BY11" s="24">
        <f t="shared" si="6"/>
        <v>1.1408018424627073</v>
      </c>
      <c r="BZ11" s="24">
        <f t="shared" si="6"/>
        <v>2.0416645558060935</v>
      </c>
      <c r="CA11" s="24">
        <f t="shared" si="6"/>
        <v>3.5494122012017186</v>
      </c>
      <c r="CB11" s="24">
        <f t="shared" si="6"/>
        <v>1.8995919581833789</v>
      </c>
      <c r="CC11" s="24">
        <f t="shared" si="6"/>
        <v>1.8728336814175037</v>
      </c>
      <c r="CD11" s="24">
        <f t="shared" si="6"/>
        <v>1.8934021127119109</v>
      </c>
      <c r="CE11" s="24">
        <f t="shared" si="6"/>
        <v>1.8076703113856922</v>
      </c>
      <c r="CF11" s="24">
        <f t="shared" si="6"/>
        <v>3.6767636203021965</v>
      </c>
      <c r="CG11" s="24">
        <f t="shared" si="6"/>
        <v>1.5844506247513266</v>
      </c>
      <c r="CH11" s="24">
        <f t="shared" si="6"/>
        <v>1.9938812888029247</v>
      </c>
      <c r="CI11" s="24">
        <f t="shared" si="6"/>
        <v>-0.52211333522240011</v>
      </c>
      <c r="CJ11" s="24">
        <f t="shared" si="6"/>
        <v>2.422253809128236</v>
      </c>
      <c r="CK11" s="24">
        <f t="shared" si="6"/>
        <v>-0.6064319302363117</v>
      </c>
      <c r="CL11" s="24">
        <f t="shared" si="6"/>
        <v>-0.70460908888090046</v>
      </c>
      <c r="CM11" s="24">
        <f t="shared" si="6"/>
        <v>1.3295033870852961</v>
      </c>
      <c r="CN11" s="24">
        <f t="shared" si="6"/>
        <v>2.919862010435665</v>
      </c>
      <c r="CO11" s="24">
        <f t="shared" si="6"/>
        <v>-4.1846179389459337</v>
      </c>
      <c r="CP11" s="24">
        <f t="shared" si="6"/>
        <v>-0.12549731194604874</v>
      </c>
      <c r="CQ11" s="24">
        <f t="shared" si="6"/>
        <v>1.8999068832530668</v>
      </c>
      <c r="CR11" s="24">
        <f t="shared" si="6"/>
        <v>2.444831107129346</v>
      </c>
      <c r="CS11" s="24">
        <f t="shared" si="6"/>
        <v>0.93984173240713176</v>
      </c>
      <c r="CT11" s="24">
        <f t="shared" si="6"/>
        <v>-0.61213342542959026</v>
      </c>
      <c r="CU11" s="24">
        <f t="shared" si="6"/>
        <v>-2.4761989047078714E-2</v>
      </c>
      <c r="CV11" s="24">
        <f t="shared" si="6"/>
        <v>-1.5178125447698392</v>
      </c>
      <c r="CW11" s="24">
        <f t="shared" si="6"/>
        <v>-1.9077624627599477</v>
      </c>
      <c r="CX11" s="24">
        <f t="shared" si="6"/>
        <v>-3.030096111414224</v>
      </c>
      <c r="CY11" s="24">
        <f t="shared" si="6"/>
        <v>-0.34435108521817881</v>
      </c>
      <c r="CZ11" s="24">
        <f t="shared" si="6"/>
        <v>-0.29747122014667582</v>
      </c>
      <c r="DA11" s="24">
        <f t="shared" si="6"/>
        <v>0.90189167520384217</v>
      </c>
      <c r="DB11" s="24">
        <f t="shared" si="6"/>
        <v>2.4437757575504548</v>
      </c>
      <c r="DC11" s="24">
        <f t="shared" si="6"/>
        <v>-3.7658683519945981</v>
      </c>
      <c r="DD11" s="24">
        <f t="shared" si="6"/>
        <v>-1.6393797419352865</v>
      </c>
      <c r="DE11" s="24">
        <f t="shared" si="6"/>
        <v>1.4290029152082866</v>
      </c>
      <c r="DF11" s="24">
        <f t="shared" si="6"/>
        <v>3.4143030501775939</v>
      </c>
      <c r="DG11" s="24">
        <f t="shared" si="6"/>
        <v>-0.3417057277210489</v>
      </c>
      <c r="DH11" s="24">
        <f t="shared" si="6"/>
        <v>-0.88301284001437352</v>
      </c>
      <c r="DI11" s="24">
        <f t="shared" si="6"/>
        <v>0.58686357405170497</v>
      </c>
      <c r="DJ11" s="24">
        <f t="shared" si="6"/>
        <v>0.51092796095163351</v>
      </c>
      <c r="DK11" s="24">
        <f t="shared" si="6"/>
        <v>-1.1686230726010223</v>
      </c>
      <c r="DL11" s="24">
        <f t="shared" si="6"/>
        <v>8.5524397369491965</v>
      </c>
      <c r="DM11" s="24">
        <f t="shared" si="6"/>
        <v>12.681558382551145</v>
      </c>
      <c r="DN11" s="24">
        <f t="shared" si="6"/>
        <v>8.665729538834114</v>
      </c>
      <c r="DO11" s="24">
        <f t="shared" si="6"/>
        <v>21.103059041715227</v>
      </c>
      <c r="DP11" s="24">
        <f t="shared" si="6"/>
        <v>16.441802204878485</v>
      </c>
      <c r="DQ11" s="24">
        <f t="shared" si="6"/>
        <v>15.204338372873892</v>
      </c>
      <c r="DR11" s="24">
        <f t="shared" si="6"/>
        <v>17.900781351652441</v>
      </c>
      <c r="DS11" s="24">
        <f t="shared" si="6"/>
        <v>18.34655930606985</v>
      </c>
      <c r="DT11" s="24">
        <f t="shared" si="6"/>
        <v>13.763200083741168</v>
      </c>
      <c r="DU11" s="24">
        <f t="shared" si="6"/>
        <v>14.555538469837785</v>
      </c>
      <c r="DV11" s="24">
        <f t="shared" si="6"/>
        <v>13.542584372363763</v>
      </c>
      <c r="DW11" s="24">
        <f t="shared" si="6"/>
        <v>15.25671760013411</v>
      </c>
      <c r="DX11" s="24">
        <f t="shared" si="6"/>
        <v>18.68176407673765</v>
      </c>
      <c r="DY11" s="24">
        <f t="shared" si="6"/>
        <v>19.706102340101694</v>
      </c>
      <c r="DZ11" s="24">
        <f t="shared" ref="DZ11:GK11" si="7">-(DZ2/DZ10*100-100)</f>
        <v>20.360312000765319</v>
      </c>
      <c r="EA11" s="24">
        <f t="shared" si="7"/>
        <v>18.114469951252289</v>
      </c>
      <c r="EB11" s="24">
        <f t="shared" si="7"/>
        <v>21.13279607098579</v>
      </c>
      <c r="EC11" s="24">
        <f t="shared" si="7"/>
        <v>21.412671576341651</v>
      </c>
      <c r="ED11" s="24">
        <f t="shared" si="7"/>
        <v>18.16112751505004</v>
      </c>
      <c r="EE11" s="24">
        <f t="shared" si="7"/>
        <v>16.19731128678842</v>
      </c>
      <c r="EF11" s="24">
        <f t="shared" si="7"/>
        <v>16.971771411111931</v>
      </c>
      <c r="EG11" s="24">
        <f t="shared" si="7"/>
        <v>19.839860826769083</v>
      </c>
      <c r="EH11" s="24">
        <f t="shared" si="7"/>
        <v>15.218847260224138</v>
      </c>
      <c r="EI11" s="24">
        <f t="shared" si="7"/>
        <v>15.65756174649826</v>
      </c>
      <c r="EJ11" s="24">
        <f t="shared" si="7"/>
        <v>15.112359121122182</v>
      </c>
      <c r="EK11" s="24">
        <f t="shared" si="7"/>
        <v>21.911232720939793</v>
      </c>
      <c r="EL11" s="24">
        <f t="shared" si="7"/>
        <v>20.401740206314585</v>
      </c>
      <c r="EM11" s="24">
        <f t="shared" si="7"/>
        <v>18.923670195598106</v>
      </c>
      <c r="EN11" s="24">
        <f t="shared" si="7"/>
        <v>18.687666989616261</v>
      </c>
      <c r="EO11" s="24">
        <f t="shared" si="7"/>
        <v>17.088107644754331</v>
      </c>
      <c r="EP11" s="24">
        <f t="shared" si="7"/>
        <v>14.229856326778929</v>
      </c>
      <c r="EQ11" s="24">
        <f t="shared" si="7"/>
        <v>17.998250838109485</v>
      </c>
      <c r="ER11" s="24">
        <f t="shared" si="7"/>
        <v>17.045262758052644</v>
      </c>
      <c r="ES11" s="24">
        <f t="shared" si="7"/>
        <v>16.385370862772945</v>
      </c>
      <c r="ET11" s="24">
        <f t="shared" si="7"/>
        <v>20.410882860854443</v>
      </c>
      <c r="EU11" s="24">
        <f t="shared" si="7"/>
        <v>20.606356008898473</v>
      </c>
      <c r="EV11" s="24">
        <f t="shared" si="7"/>
        <v>19.096375104746699</v>
      </c>
      <c r="EW11" s="24">
        <f t="shared" si="7"/>
        <v>16.411886738290789</v>
      </c>
      <c r="EX11" s="24">
        <f t="shared" si="7"/>
        <v>22.519184003442774</v>
      </c>
      <c r="EY11" s="24">
        <f t="shared" si="7"/>
        <v>22.416551717660553</v>
      </c>
      <c r="EZ11" s="24">
        <f t="shared" si="7"/>
        <v>18.5286574516185</v>
      </c>
      <c r="FA11" s="24">
        <f t="shared" si="7"/>
        <v>20.037451162009717</v>
      </c>
      <c r="FB11" s="24">
        <f t="shared" si="7"/>
        <v>20.611341240491726</v>
      </c>
      <c r="FC11" s="24">
        <f t="shared" si="7"/>
        <v>23.483337775704953</v>
      </c>
      <c r="FD11" s="24">
        <f t="shared" si="7"/>
        <v>22.463909977007063</v>
      </c>
      <c r="FE11" s="24">
        <f t="shared" si="7"/>
        <v>23.460873701216926</v>
      </c>
      <c r="FF11" s="24">
        <f t="shared" si="7"/>
        <v>24.207246617122024</v>
      </c>
      <c r="FG11" s="24">
        <f t="shared" si="7"/>
        <v>25.311168485924384</v>
      </c>
      <c r="FH11" s="24">
        <f t="shared" si="7"/>
        <v>21.317847301436771</v>
      </c>
      <c r="FI11" s="24">
        <f t="shared" si="7"/>
        <v>20.769925258288325</v>
      </c>
      <c r="FJ11" s="24">
        <f t="shared" si="7"/>
        <v>19.405751601618661</v>
      </c>
      <c r="FK11" s="24">
        <f t="shared" si="7"/>
        <v>19.672520987948388</v>
      </c>
      <c r="FL11" s="24">
        <f t="shared" si="7"/>
        <v>20.892662897932894</v>
      </c>
      <c r="FM11" s="24">
        <f t="shared" si="7"/>
        <v>20.045468899782179</v>
      </c>
      <c r="FN11" s="24">
        <f t="shared" si="7"/>
        <v>15.60932621043932</v>
      </c>
      <c r="FO11" s="24">
        <f t="shared" si="7"/>
        <v>15.058184185267976</v>
      </c>
      <c r="FP11" s="24">
        <f t="shared" si="7"/>
        <v>12.629626570913572</v>
      </c>
      <c r="FQ11" s="24">
        <f t="shared" si="7"/>
        <v>16.039435739561085</v>
      </c>
      <c r="FR11" s="24">
        <f t="shared" si="7"/>
        <v>17.014585578449612</v>
      </c>
      <c r="FS11" s="24">
        <f t="shared" si="7"/>
        <v>14.875532553267007</v>
      </c>
      <c r="FT11" s="24">
        <f t="shared" si="7"/>
        <v>17.691432991524138</v>
      </c>
      <c r="FU11" s="24">
        <f t="shared" si="7"/>
        <v>14.929938303336485</v>
      </c>
      <c r="FV11" s="24">
        <f t="shared" si="7"/>
        <v>14.545824533290229</v>
      </c>
      <c r="FW11" s="24">
        <f t="shared" si="7"/>
        <v>14.592344288767663</v>
      </c>
      <c r="FX11" s="24">
        <f t="shared" si="7"/>
        <v>16.188252993472986</v>
      </c>
      <c r="FY11" s="24">
        <f t="shared" si="7"/>
        <v>14.95092488033174</v>
      </c>
      <c r="FZ11" s="24">
        <f t="shared" si="7"/>
        <v>14.973255913200362</v>
      </c>
      <c r="GA11" s="24">
        <f t="shared" si="7"/>
        <v>14.877776211063861</v>
      </c>
      <c r="GB11" s="24">
        <f t="shared" si="7"/>
        <v>14.923526559284738</v>
      </c>
      <c r="GC11" s="24">
        <f t="shared" si="7"/>
        <v>6.3852607597277142</v>
      </c>
      <c r="GD11" s="24">
        <f t="shared" si="7"/>
        <v>8.9384800789768946</v>
      </c>
      <c r="GE11" s="24">
        <f t="shared" si="7"/>
        <v>10.721029578311402</v>
      </c>
      <c r="GF11" s="24">
        <f t="shared" si="7"/>
        <v>11.664980150764521</v>
      </c>
      <c r="GG11" s="24">
        <f t="shared" si="7"/>
        <v>9.9166054823340346</v>
      </c>
      <c r="GH11" s="24">
        <f t="shared" si="7"/>
        <v>11.055915097740737</v>
      </c>
      <c r="GI11" s="24">
        <f t="shared" si="7"/>
        <v>12.01072428224316</v>
      </c>
      <c r="GJ11" s="24">
        <f t="shared" si="7"/>
        <v>11.099070731270928</v>
      </c>
      <c r="GK11" s="24">
        <f t="shared" si="7"/>
        <v>6.5192963141539337</v>
      </c>
      <c r="GL11" s="24">
        <f t="shared" ref="GL11:IE11" si="8">-(GL2/GL10*100-100)</f>
        <v>10.13974105909476</v>
      </c>
      <c r="GM11" s="24">
        <f t="shared" si="8"/>
        <v>9.7762131946920903</v>
      </c>
      <c r="GN11" s="24">
        <f t="shared" si="8"/>
        <v>11.124127080753283</v>
      </c>
      <c r="GO11" s="24">
        <f t="shared" si="8"/>
        <v>10.23207251791348</v>
      </c>
      <c r="GP11" s="24">
        <f t="shared" si="8"/>
        <v>10.271719719600625</v>
      </c>
      <c r="GQ11" s="24">
        <f t="shared" si="8"/>
        <v>8.7268996458882384</v>
      </c>
      <c r="GR11" s="24">
        <f t="shared" si="8"/>
        <v>8.2305436382434607</v>
      </c>
      <c r="GS11" s="24">
        <f t="shared" si="8"/>
        <v>8.6252984177434513</v>
      </c>
      <c r="GT11" s="24">
        <f t="shared" si="8"/>
        <v>8.0327603217970562</v>
      </c>
      <c r="GU11" s="24">
        <f t="shared" si="8"/>
        <v>8.2449958955869107</v>
      </c>
      <c r="GV11" s="24">
        <f t="shared" si="8"/>
        <v>8.7343060689803025</v>
      </c>
      <c r="GW11" s="24">
        <f t="shared" si="8"/>
        <v>8.7144582552238603</v>
      </c>
      <c r="GX11" s="24">
        <f t="shared" si="8"/>
        <v>9.320960277776507</v>
      </c>
      <c r="GY11" s="24">
        <f t="shared" si="8"/>
        <v>9.1578388463857863</v>
      </c>
      <c r="GZ11" s="24">
        <f t="shared" si="8"/>
        <v>11.147739719909666</v>
      </c>
      <c r="HA11" s="24">
        <f t="shared" si="8"/>
        <v>11.667856180691359</v>
      </c>
      <c r="HB11" s="24">
        <f t="shared" si="8"/>
        <v>11.68700894750819</v>
      </c>
      <c r="HC11" s="24">
        <f t="shared" si="8"/>
        <v>10.202718133722925</v>
      </c>
      <c r="HD11" s="24">
        <f t="shared" si="8"/>
        <v>11.236281280252882</v>
      </c>
      <c r="HE11" s="24">
        <f t="shared" si="8"/>
        <v>11.054211897208262</v>
      </c>
      <c r="HF11" s="24">
        <f t="shared" si="8"/>
        <v>11.615827893394808</v>
      </c>
      <c r="HG11" s="24">
        <f t="shared" si="8"/>
        <v>10.587405810811831</v>
      </c>
      <c r="HH11" s="24">
        <f t="shared" si="8"/>
        <v>10.96154760149372</v>
      </c>
      <c r="HI11" s="24">
        <f t="shared" si="8"/>
        <v>11.117380625967527</v>
      </c>
      <c r="HJ11" s="24">
        <f t="shared" si="8"/>
        <v>11.095408927018241</v>
      </c>
      <c r="HK11" s="24">
        <f t="shared" si="8"/>
        <v>10.64414570339342</v>
      </c>
      <c r="HL11" s="24">
        <f t="shared" si="8"/>
        <v>10.906860948354705</v>
      </c>
      <c r="HM11" s="24">
        <f t="shared" si="8"/>
        <v>11.087139318211499</v>
      </c>
      <c r="HN11" s="24">
        <f t="shared" si="8"/>
        <v>11.105269329614998</v>
      </c>
      <c r="HO11" s="24">
        <f t="shared" si="8"/>
        <v>11.460325146797246</v>
      </c>
      <c r="HP11" s="24">
        <f t="shared" si="8"/>
        <v>11.439240972935167</v>
      </c>
      <c r="HQ11" s="24">
        <f t="shared" si="8"/>
        <v>11.511167083209855</v>
      </c>
      <c r="HR11" s="24">
        <f t="shared" si="8"/>
        <v>11.76488257001634</v>
      </c>
      <c r="HS11" s="24">
        <f t="shared" si="8"/>
        <v>12.446304264737066</v>
      </c>
      <c r="HT11" s="24">
        <f t="shared" si="8"/>
        <v>12.05447901269963</v>
      </c>
      <c r="HU11" s="24">
        <f t="shared" si="8"/>
        <v>12.659451973443169</v>
      </c>
      <c r="HV11" s="24">
        <f t="shared" si="8"/>
        <v>12.18384836969058</v>
      </c>
      <c r="HW11" s="24">
        <f t="shared" si="8"/>
        <v>13.165724581491006</v>
      </c>
      <c r="HX11" s="24">
        <f t="shared" si="8"/>
        <v>12.539225341564645</v>
      </c>
      <c r="HY11" s="24">
        <f t="shared" si="8"/>
        <v>11.298670346517227</v>
      </c>
      <c r="HZ11" s="24">
        <f t="shared" si="8"/>
        <v>11.011423760389633</v>
      </c>
      <c r="IA11" s="24">
        <f t="shared" si="8"/>
        <v>10.512517504096749</v>
      </c>
      <c r="IB11" s="24">
        <f t="shared" si="8"/>
        <v>10.228106175025005</v>
      </c>
      <c r="IC11" s="24">
        <f t="shared" si="8"/>
        <v>10.744417098753104</v>
      </c>
      <c r="ID11" s="24">
        <f t="shared" si="8"/>
        <v>10.932581812581859</v>
      </c>
      <c r="IE11" s="24">
        <f t="shared" si="8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10.638130049391336</v>
      </c>
      <c r="KM11" s="24" t="e">
        <f>'[13]Week Global'!KP$41</f>
        <v>#VALUE!</v>
      </c>
      <c r="KN11" s="24" t="e">
        <f>'[13]Week Global'!KQ$41</f>
        <v>#VALUE!</v>
      </c>
      <c r="KO11" s="24" t="e">
        <f>'[13]Week Global'!KR$41</f>
        <v>#VALUE!</v>
      </c>
      <c r="KP11" s="24" t="e">
        <f>'[13]Week Global'!KS$41</f>
        <v>#VALUE!</v>
      </c>
      <c r="KQ11" s="24" t="e">
        <f>'[13]Week Global'!KT$41</f>
        <v>#VALUE!</v>
      </c>
      <c r="KR11" s="24" t="e">
        <f>'[13]Week Global'!KU$41</f>
        <v>#VALUE!</v>
      </c>
      <c r="KS11" s="24" t="e">
        <f>'[13]Week Global'!KV$41</f>
        <v>#VALUE!</v>
      </c>
      <c r="KT11" s="24" t="e">
        <f>'[13]Week Global'!KW$41</f>
        <v>#VALUE!</v>
      </c>
      <c r="KU11" s="24" t="e">
        <f>'[13]Week Global'!KX$41</f>
        <v>#VALUE!</v>
      </c>
      <c r="KV11" s="24" t="e">
        <f>'[13]Week Global'!KY$41</f>
        <v>#VALUE!</v>
      </c>
      <c r="KW11" s="24" t="e">
        <f>'[13]Week Global'!KZ$41</f>
        <v>#VALUE!</v>
      </c>
      <c r="KX11" s="24" t="e">
        <f>'[13]Week Global'!LA$41</f>
        <v>#VALUE!</v>
      </c>
      <c r="KY11" s="24" t="e">
        <f>'[13]Week Global'!LB$41</f>
        <v>#VALUE!</v>
      </c>
      <c r="KZ11" s="24" t="e">
        <f>'[13]Week Global'!LC$41</f>
        <v>#VALUE!</v>
      </c>
      <c r="LA11" s="24" t="e">
        <f>'[13]Week Global'!LD$41</f>
        <v>#VALUE!</v>
      </c>
      <c r="LB11" s="24" t="e">
        <f>'[13]Week Global'!LE$41</f>
        <v>#VALUE!</v>
      </c>
      <c r="LC11" s="24" t="e">
        <f>'[13]Week Global'!LF$41</f>
        <v>#VALUE!</v>
      </c>
    </row>
    <row r="12" spans="1:315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-0.87214366484941053</v>
      </c>
      <c r="KM12" s="10" t="str">
        <f>[13]Week!KP115</f>
        <v/>
      </c>
      <c r="KN12" s="10" t="str">
        <f>[13]Week!KQ115</f>
        <v/>
      </c>
      <c r="KO12" s="10" t="str">
        <f>[13]Week!KR115</f>
        <v/>
      </c>
      <c r="KP12" s="10" t="str">
        <f>[13]Week!KS115</f>
        <v/>
      </c>
      <c r="KQ12" s="10" t="str">
        <f>[13]Week!KT115</f>
        <v/>
      </c>
      <c r="KR12" s="10" t="str">
        <f>[13]Week!KU115</f>
        <v/>
      </c>
      <c r="KS12" s="10" t="str">
        <f>[13]Week!KV115</f>
        <v/>
      </c>
      <c r="KT12" s="10" t="str">
        <f>[13]Week!KW115</f>
        <v/>
      </c>
      <c r="KU12" s="10" t="str">
        <f>[13]Week!KX115</f>
        <v/>
      </c>
      <c r="KV12" s="10" t="str">
        <f>[13]Week!KY115</f>
        <v/>
      </c>
      <c r="KW12" s="10" t="str">
        <f>[13]Week!KZ115</f>
        <v/>
      </c>
      <c r="KX12" s="10" t="str">
        <f>[13]Week!LA115</f>
        <v/>
      </c>
      <c r="KY12" s="10" t="str">
        <f>[13]Week!LB115</f>
        <v/>
      </c>
      <c r="KZ12" s="10" t="str">
        <f>[13]Week!LC115</f>
        <v/>
      </c>
      <c r="LA12" s="10" t="str">
        <f>[13]Week!LD115</f>
        <v/>
      </c>
      <c r="LB12" s="10" t="str">
        <f>[13]Week!LE115</f>
        <v/>
      </c>
      <c r="LC12" s="10">
        <f>[13]Week!LF115</f>
        <v>0</v>
      </c>
    </row>
    <row r="13" spans="1:315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-0.16045697214751437</v>
      </c>
      <c r="KM13" s="10" t="str">
        <f>[13]Week!KP116</f>
        <v/>
      </c>
      <c r="KN13" s="10" t="str">
        <f>[13]Week!KQ116</f>
        <v/>
      </c>
      <c r="KO13" s="10" t="str">
        <f>[13]Week!KR116</f>
        <v/>
      </c>
      <c r="KP13" s="10" t="str">
        <f>[13]Week!KS116</f>
        <v/>
      </c>
      <c r="KQ13" s="10" t="str">
        <f>[13]Week!KT116</f>
        <v/>
      </c>
      <c r="KR13" s="10" t="str">
        <f>[13]Week!KU116</f>
        <v/>
      </c>
      <c r="KS13" s="10" t="str">
        <f>[13]Week!KV116</f>
        <v/>
      </c>
      <c r="KT13" s="10" t="str">
        <f>[13]Week!KW116</f>
        <v/>
      </c>
      <c r="KU13" s="10" t="str">
        <f>[13]Week!KX116</f>
        <v/>
      </c>
      <c r="KV13" s="10" t="str">
        <f>[13]Week!KY116</f>
        <v/>
      </c>
      <c r="KW13" s="10" t="str">
        <f>[13]Week!KZ116</f>
        <v/>
      </c>
      <c r="KX13" s="10" t="str">
        <f>[13]Week!LA116</f>
        <v/>
      </c>
      <c r="KY13" s="10" t="str">
        <f>[13]Week!LB116</f>
        <v/>
      </c>
      <c r="KZ13" s="10" t="str">
        <f>[13]Week!LC116</f>
        <v/>
      </c>
      <c r="LA13" s="10" t="str">
        <f>[13]Week!LD116</f>
        <v/>
      </c>
      <c r="LB13" s="10" t="str">
        <f>[13]Week!LE116</f>
        <v/>
      </c>
      <c r="LC13" s="10" t="str">
        <f>[13]Week!LF116</f>
        <v/>
      </c>
    </row>
    <row r="14" spans="1:315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 t="str">
        <f>[13]Week!KP117</f>
        <v/>
      </c>
      <c r="KN14" s="10" t="str">
        <f>[13]Week!KQ117</f>
        <v/>
      </c>
      <c r="KO14" s="10" t="str">
        <f>[13]Week!KR117</f>
        <v/>
      </c>
      <c r="KP14" s="10" t="str">
        <f>[13]Week!KS117</f>
        <v/>
      </c>
      <c r="KQ14" s="10" t="str">
        <f>[13]Week!KT117</f>
        <v/>
      </c>
      <c r="KR14" s="10" t="str">
        <f>[13]Week!KU117</f>
        <v/>
      </c>
      <c r="KS14" s="10" t="str">
        <f>[13]Week!KV117</f>
        <v/>
      </c>
      <c r="KT14" s="10" t="str">
        <f>[13]Week!KW117</f>
        <v/>
      </c>
      <c r="KU14" s="10" t="str">
        <f>[13]Week!KX117</f>
        <v/>
      </c>
      <c r="KV14" s="10" t="str">
        <f>[13]Week!KY117</f>
        <v/>
      </c>
      <c r="KW14" s="10" t="str">
        <f>[13]Week!KZ117</f>
        <v/>
      </c>
      <c r="KX14" s="10" t="str">
        <f>[13]Week!LA117</f>
        <v/>
      </c>
      <c r="KY14" s="10" t="str">
        <f>[13]Week!LB117</f>
        <v/>
      </c>
      <c r="KZ14" s="10" t="str">
        <f>[13]Week!LC117</f>
        <v/>
      </c>
      <c r="LA14" s="10" t="str">
        <f>[13]Week!LD117</f>
        <v/>
      </c>
      <c r="LB14" s="10" t="str">
        <f>[13]Week!LE117</f>
        <v/>
      </c>
      <c r="LC14" s="10" t="str">
        <f>[13]Week!LF117</f>
        <v/>
      </c>
    </row>
    <row r="15" spans="1:315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-0.35301825409778004</v>
      </c>
      <c r="KM15" s="10" t="str">
        <f>[13]Week!KP118</f>
        <v/>
      </c>
      <c r="KN15" s="10" t="str">
        <f>[13]Week!KQ118</f>
        <v/>
      </c>
      <c r="KO15" s="10" t="str">
        <f>[13]Week!KR118</f>
        <v/>
      </c>
      <c r="KP15" s="10" t="str">
        <f>[13]Week!KS118</f>
        <v/>
      </c>
      <c r="KQ15" s="10" t="str">
        <f>[13]Week!KT118</f>
        <v/>
      </c>
      <c r="KR15" s="10" t="str">
        <f>[13]Week!KU118</f>
        <v/>
      </c>
      <c r="KS15" s="10" t="str">
        <f>[13]Week!KV118</f>
        <v/>
      </c>
      <c r="KT15" s="10" t="str">
        <f>[13]Week!KW118</f>
        <v/>
      </c>
      <c r="KU15" s="10" t="str">
        <f>[13]Week!KX118</f>
        <v/>
      </c>
      <c r="KV15" s="10" t="str">
        <f>[13]Week!KY118</f>
        <v/>
      </c>
      <c r="KW15" s="10" t="str">
        <f>[13]Week!KZ118</f>
        <v/>
      </c>
      <c r="KX15" s="10" t="str">
        <f>[13]Week!LA118</f>
        <v/>
      </c>
      <c r="KY15" s="10" t="str">
        <f>[13]Week!LB118</f>
        <v/>
      </c>
      <c r="KZ15" s="10" t="str">
        <f>[13]Week!LC118</f>
        <v/>
      </c>
      <c r="LA15" s="10" t="str">
        <f>[13]Week!LD118</f>
        <v/>
      </c>
      <c r="LB15" s="10" t="str">
        <f>[13]Week!LE118</f>
        <v/>
      </c>
      <c r="LC15" s="10" t="str">
        <f>[13]Week!LF118</f>
        <v/>
      </c>
    </row>
    <row r="16" spans="1:315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0.1947715779706875</v>
      </c>
      <c r="KM16" s="10" t="str">
        <f>[13]Week!KP119</f>
        <v/>
      </c>
      <c r="KN16" s="10" t="str">
        <f>[13]Week!KQ119</f>
        <v/>
      </c>
      <c r="KO16" s="10" t="str">
        <f>[13]Week!KR119</f>
        <v/>
      </c>
      <c r="KP16" s="10" t="str">
        <f>[13]Week!KS119</f>
        <v/>
      </c>
      <c r="KQ16" s="10" t="str">
        <f>[13]Week!KT119</f>
        <v/>
      </c>
      <c r="KR16" s="10" t="str">
        <f>[13]Week!KU119</f>
        <v/>
      </c>
      <c r="KS16" s="10" t="str">
        <f>[13]Week!KV119</f>
        <v/>
      </c>
      <c r="KT16" s="10" t="str">
        <f>[13]Week!KW119</f>
        <v/>
      </c>
      <c r="KU16" s="10" t="str">
        <f>[13]Week!KX119</f>
        <v/>
      </c>
      <c r="KV16" s="10" t="str">
        <f>[13]Week!KY119</f>
        <v/>
      </c>
      <c r="KW16" s="10" t="str">
        <f>[13]Week!KZ119</f>
        <v/>
      </c>
      <c r="KX16" s="10" t="str">
        <f>[13]Week!LA119</f>
        <v/>
      </c>
      <c r="KY16" s="10" t="str">
        <f>[13]Week!LB119</f>
        <v/>
      </c>
      <c r="KZ16" s="10" t="str">
        <f>[13]Week!LC119</f>
        <v/>
      </c>
      <c r="LA16" s="10" t="str">
        <f>[13]Week!LD119</f>
        <v/>
      </c>
      <c r="LB16" s="10" t="str">
        <f>[13]Week!LE119</f>
        <v/>
      </c>
      <c r="LC16" s="10" t="str">
        <f>[13]Week!LF119</f>
        <v/>
      </c>
    </row>
    <row r="17" spans="1:315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 t="str">
        <f>[13]Week!KP120</f>
        <v/>
      </c>
      <c r="KN17" s="10" t="str">
        <f>[13]Week!KQ120</f>
        <v/>
      </c>
      <c r="KO17" s="10" t="str">
        <f>[13]Week!KR120</f>
        <v/>
      </c>
      <c r="KP17" s="10" t="str">
        <f>[13]Week!KS120</f>
        <v/>
      </c>
      <c r="KQ17" s="10" t="str">
        <f>[13]Week!KT120</f>
        <v/>
      </c>
      <c r="KR17" s="10" t="str">
        <f>[13]Week!KU120</f>
        <v/>
      </c>
      <c r="KS17" s="10" t="str">
        <f>[13]Week!KV120</f>
        <v/>
      </c>
      <c r="KT17" s="10" t="str">
        <f>[13]Week!KW120</f>
        <v/>
      </c>
      <c r="KU17" s="10" t="str">
        <f>[13]Week!KX120</f>
        <v/>
      </c>
      <c r="KV17" s="10" t="str">
        <f>[13]Week!KY120</f>
        <v/>
      </c>
      <c r="KW17" s="10" t="str">
        <f>[13]Week!KZ120</f>
        <v/>
      </c>
      <c r="KX17" s="10" t="str">
        <f>[13]Week!LA120</f>
        <v/>
      </c>
      <c r="KY17" s="10" t="str">
        <f>[13]Week!LB120</f>
        <v/>
      </c>
      <c r="KZ17" s="10" t="str">
        <f>[13]Week!LC120</f>
        <v/>
      </c>
      <c r="LA17" s="10" t="str">
        <f>[13]Week!LD120</f>
        <v/>
      </c>
      <c r="LB17" s="10" t="str">
        <f>[13]Week!LE120</f>
        <v/>
      </c>
      <c r="LC17" s="10" t="str">
        <f>[13]Week!LF120</f>
        <v/>
      </c>
    </row>
    <row r="18" spans="1:315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-0.23951505507921236</v>
      </c>
      <c r="KM18" s="10" t="str">
        <f>[13]Week!KP121</f>
        <v/>
      </c>
      <c r="KN18" s="10" t="str">
        <f>[13]Week!KQ121</f>
        <v/>
      </c>
      <c r="KO18" s="10" t="str">
        <f>[13]Week!KR121</f>
        <v/>
      </c>
      <c r="KP18" s="10" t="str">
        <f>[13]Week!KS121</f>
        <v/>
      </c>
      <c r="KQ18" s="10" t="str">
        <f>[13]Week!KT121</f>
        <v/>
      </c>
      <c r="KR18" s="10" t="str">
        <f>[13]Week!KU121</f>
        <v/>
      </c>
      <c r="KS18" s="10" t="str">
        <f>[13]Week!KV121</f>
        <v/>
      </c>
      <c r="KT18" s="10" t="str">
        <f>[13]Week!KW121</f>
        <v/>
      </c>
      <c r="KU18" s="10" t="str">
        <f>[13]Week!KX121</f>
        <v/>
      </c>
      <c r="KV18" s="10" t="str">
        <f>[13]Week!KY121</f>
        <v/>
      </c>
      <c r="KW18" s="10" t="str">
        <f>[13]Week!KZ121</f>
        <v/>
      </c>
      <c r="KX18" s="10" t="str">
        <f>[13]Week!LA121</f>
        <v/>
      </c>
      <c r="KY18" s="10" t="str">
        <f>[13]Week!LB121</f>
        <v/>
      </c>
      <c r="KZ18" s="10" t="str">
        <f>[13]Week!LC121</f>
        <v/>
      </c>
      <c r="LA18" s="10" t="str">
        <f>[13]Week!LD121</f>
        <v/>
      </c>
      <c r="LB18" s="10" t="str">
        <f>[13]Week!LE121</f>
        <v/>
      </c>
      <c r="LC18" s="10" t="str">
        <f>[13]Week!LF121</f>
        <v/>
      </c>
    </row>
    <row r="19" spans="1:315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 t="str">
        <f>[13]Week!KP122</f>
        <v/>
      </c>
      <c r="KN19" s="10" t="str">
        <f>[13]Week!KQ122</f>
        <v/>
      </c>
      <c r="KO19" s="10" t="str">
        <f>[13]Week!KR122</f>
        <v/>
      </c>
      <c r="KP19" s="10" t="str">
        <f>[13]Week!KS122</f>
        <v/>
      </c>
      <c r="KQ19" s="10" t="str">
        <f>[13]Week!KT122</f>
        <v/>
      </c>
      <c r="KR19" s="10" t="str">
        <f>[13]Week!KU122</f>
        <v/>
      </c>
      <c r="KS19" s="10" t="str">
        <f>[13]Week!KV122</f>
        <v/>
      </c>
      <c r="KT19" s="10" t="str">
        <f>[13]Week!KW122</f>
        <v/>
      </c>
      <c r="KU19" s="10" t="str">
        <f>[13]Week!KX122</f>
        <v/>
      </c>
      <c r="KV19" s="10" t="str">
        <f>[13]Week!KY122</f>
        <v/>
      </c>
      <c r="KW19" s="10" t="str">
        <f>[13]Week!KZ122</f>
        <v/>
      </c>
      <c r="KX19" s="10" t="str">
        <f>[13]Week!LA122</f>
        <v/>
      </c>
      <c r="KY19" s="10" t="str">
        <f>[13]Week!LB122</f>
        <v/>
      </c>
      <c r="KZ19" s="10" t="str">
        <f>[13]Week!LC122</f>
        <v/>
      </c>
      <c r="LA19" s="10" t="str">
        <f>[13]Week!LD122</f>
        <v/>
      </c>
      <c r="LB19" s="10" t="str">
        <f>[13]Week!LE122</f>
        <v/>
      </c>
      <c r="LC19" s="10" t="str">
        <f>[13]Week!LF122</f>
        <v/>
      </c>
    </row>
    <row r="20" spans="1:315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 t="str">
        <f>[13]Week!KP123</f>
        <v/>
      </c>
      <c r="KN20" s="10" t="str">
        <f>[13]Week!KQ123</f>
        <v/>
      </c>
      <c r="KO20" s="10" t="str">
        <f>[13]Week!KR123</f>
        <v/>
      </c>
      <c r="KP20" s="10" t="str">
        <f>[13]Week!KS123</f>
        <v/>
      </c>
      <c r="KQ20" s="10" t="str">
        <f>[13]Week!KT123</f>
        <v/>
      </c>
      <c r="KR20" s="10" t="str">
        <f>[13]Week!KU123</f>
        <v/>
      </c>
      <c r="KS20" s="10" t="str">
        <f>[13]Week!KV123</f>
        <v/>
      </c>
      <c r="KT20" s="10" t="str">
        <f>[13]Week!KW123</f>
        <v/>
      </c>
      <c r="KU20" s="10" t="str">
        <f>[13]Week!KX123</f>
        <v/>
      </c>
      <c r="KV20" s="10" t="str">
        <f>[13]Week!KY123</f>
        <v/>
      </c>
      <c r="KW20" s="10" t="str">
        <f>[13]Week!KZ123</f>
        <v/>
      </c>
      <c r="KX20" s="10" t="str">
        <f>[13]Week!LA123</f>
        <v/>
      </c>
      <c r="KY20" s="10" t="str">
        <f>[13]Week!LB123</f>
        <v/>
      </c>
      <c r="KZ20" s="10" t="str">
        <f>[13]Week!LC123</f>
        <v/>
      </c>
      <c r="LA20" s="10" t="str">
        <f>[13]Week!LD123</f>
        <v/>
      </c>
      <c r="LB20" s="10" t="str">
        <f>[13]Week!LE123</f>
        <v/>
      </c>
      <c r="LC20" s="10" t="str">
        <f>[13]Week!LF123</f>
        <v/>
      </c>
    </row>
    <row r="21" spans="1:315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 t="str">
        <f>[13]Week!KP124</f>
        <v/>
      </c>
      <c r="KN21" s="10" t="str">
        <f>[13]Week!KQ124</f>
        <v/>
      </c>
      <c r="KO21" s="10" t="str">
        <f>[13]Week!KR124</f>
        <v/>
      </c>
      <c r="KP21" s="10" t="str">
        <f>[13]Week!KS124</f>
        <v/>
      </c>
      <c r="KQ21" s="10" t="str">
        <f>[13]Week!KT124</f>
        <v/>
      </c>
      <c r="KR21" s="10" t="str">
        <f>[13]Week!KU124</f>
        <v/>
      </c>
      <c r="KS21" s="10" t="str">
        <f>[13]Week!KV124</f>
        <v/>
      </c>
      <c r="KT21" s="10" t="str">
        <f>[13]Week!KW124</f>
        <v/>
      </c>
      <c r="KU21" s="10" t="str">
        <f>[13]Week!KX124</f>
        <v/>
      </c>
      <c r="KV21" s="10" t="str">
        <f>[13]Week!KY124</f>
        <v/>
      </c>
      <c r="KW21" s="10" t="str">
        <f>[13]Week!KZ124</f>
        <v/>
      </c>
      <c r="KX21" s="10" t="str">
        <f>[13]Week!LA124</f>
        <v/>
      </c>
      <c r="KY21" s="10" t="str">
        <f>[13]Week!LB124</f>
        <v/>
      </c>
      <c r="KZ21" s="10" t="str">
        <f>[13]Week!LC124</f>
        <v/>
      </c>
      <c r="LA21" s="10" t="str">
        <f>[13]Week!LD124</f>
        <v/>
      </c>
      <c r="LB21" s="10" t="str">
        <f>[13]Week!LE124</f>
        <v/>
      </c>
      <c r="LC21" s="10" t="str">
        <f>[13]Week!LF124</f>
        <v/>
      </c>
    </row>
    <row r="22" spans="1:315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 t="str">
        <f>[13]Week!KP125</f>
        <v/>
      </c>
      <c r="KN22" s="10" t="str">
        <f>[13]Week!KQ125</f>
        <v/>
      </c>
      <c r="KO22" s="10" t="str">
        <f>[13]Week!KR125</f>
        <v/>
      </c>
      <c r="KP22" s="10" t="str">
        <f>[13]Week!KS125</f>
        <v/>
      </c>
      <c r="KQ22" s="10" t="str">
        <f>[13]Week!KT125</f>
        <v/>
      </c>
      <c r="KR22" s="10" t="str">
        <f>[13]Week!KU125</f>
        <v/>
      </c>
      <c r="KS22" s="10" t="str">
        <f>[13]Week!KV125</f>
        <v/>
      </c>
      <c r="KT22" s="10" t="str">
        <f>[13]Week!KW125</f>
        <v/>
      </c>
      <c r="KU22" s="10" t="str">
        <f>[13]Week!KX125</f>
        <v/>
      </c>
      <c r="KV22" s="10" t="str">
        <f>[13]Week!KY125</f>
        <v/>
      </c>
      <c r="KW22" s="10" t="str">
        <f>[13]Week!KZ125</f>
        <v/>
      </c>
      <c r="KX22" s="10" t="str">
        <f>[13]Week!LA125</f>
        <v/>
      </c>
      <c r="KY22" s="10" t="str">
        <f>[13]Week!LB125</f>
        <v/>
      </c>
      <c r="KZ22" s="10" t="str">
        <f>[13]Week!LC125</f>
        <v/>
      </c>
      <c r="LA22" s="10" t="str">
        <f>[13]Week!LD125</f>
        <v/>
      </c>
      <c r="LB22" s="10" t="str">
        <f>[13]Week!LE125</f>
        <v/>
      </c>
      <c r="LC22" s="10" t="str">
        <f>[13]Week!LF125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62.812583967626026</v>
      </c>
      <c r="KM2" s="24" t="str">
        <f>'Index RU'!KM2</f>
        <v/>
      </c>
      <c r="KN2" s="24" t="str">
        <f>'Index RU'!KN2</f>
        <v/>
      </c>
      <c r="KO2" s="24" t="str">
        <f>'Index RU'!KO2</f>
        <v/>
      </c>
      <c r="KP2" s="24" t="str">
        <f>'Index RU'!KP2</f>
        <v/>
      </c>
      <c r="KQ2" s="24" t="str">
        <f>'Index RU'!KQ2</f>
        <v/>
      </c>
      <c r="KR2" s="24" t="str">
        <f>'Index RU'!KR2</f>
        <v/>
      </c>
      <c r="KS2" s="24" t="str">
        <f>'Index RU'!KS2</f>
        <v/>
      </c>
      <c r="KT2" s="24" t="str">
        <f>'Index RU'!KT2</f>
        <v/>
      </c>
      <c r="KU2" s="24" t="str">
        <f>'Index RU'!KU2</f>
        <v/>
      </c>
      <c r="KV2" s="24" t="str">
        <f>'Index RU'!KV2</f>
        <v/>
      </c>
      <c r="KW2" s="24" t="str">
        <f>'Index RU'!KW2</f>
        <v/>
      </c>
      <c r="KX2" s="24" t="str">
        <f>'Index RU'!KX2</f>
        <v/>
      </c>
      <c r="KY2" s="24" t="str">
        <f>'Index RU'!KY2</f>
        <v/>
      </c>
      <c r="KZ2" s="24" t="str">
        <f>'Index RU'!KZ2</f>
        <v/>
      </c>
      <c r="LA2" s="24" t="str">
        <f>'Index RU'!LA2</f>
        <v/>
      </c>
      <c r="LB2" s="24" t="str">
        <f>'Index RU'!LB2</f>
        <v/>
      </c>
      <c r="LC2" s="24" t="str">
        <f>'Index RU'!LC2</f>
        <v/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 t="str">
        <f>'Index RU'!KO3</f>
        <v/>
      </c>
      <c r="KP3" s="24" t="str">
        <f>'Index RU'!KP3</f>
        <v/>
      </c>
      <c r="KQ3" s="24" t="str">
        <f>'Index RU'!KQ3</f>
        <v/>
      </c>
      <c r="KR3" s="24" t="str">
        <f>'Index RU'!KR3</f>
        <v/>
      </c>
      <c r="KS3" s="24" t="str">
        <f>'Index RU'!KS3</f>
        <v/>
      </c>
      <c r="KT3" s="24" t="str">
        <f>'Index RU'!KT3</f>
        <v/>
      </c>
      <c r="KU3" s="24" t="str">
        <f>'Index RU'!KU3</f>
        <v/>
      </c>
      <c r="KV3" s="24" t="str">
        <f>'Index RU'!KV3</f>
        <v/>
      </c>
      <c r="KW3" s="24" t="str">
        <f>'Index RU'!KW3</f>
        <v/>
      </c>
      <c r="KX3" s="24" t="str">
        <f>'Index RU'!KX3</f>
        <v/>
      </c>
      <c r="KY3" s="24" t="str">
        <f>'Index RU'!KY3</f>
        <v/>
      </c>
      <c r="KZ3" s="24" t="str">
        <f>'Index RU'!KZ3</f>
        <v/>
      </c>
      <c r="LA3" s="24" t="str">
        <f>'Index RU'!LA3</f>
        <v/>
      </c>
      <c r="LB3" s="24" t="str">
        <f>'Index RU'!LB3</f>
        <v/>
      </c>
      <c r="LC3" s="24" t="str">
        <f>'Index RU'!LC3</f>
        <v/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62.812583967626026</v>
      </c>
      <c r="KY4" s="24" t="str">
        <f>'Index RU'!KY4</f>
        <v/>
      </c>
      <c r="KZ4" s="24" t="str">
        <f>'Index RU'!KZ4</f>
        <v/>
      </c>
      <c r="LA4" s="24" t="str">
        <f>'Index RU'!LA4</f>
        <v/>
      </c>
      <c r="LB4" s="24" t="str">
        <f>'Index RU'!LB4</f>
        <v/>
      </c>
      <c r="LC4" s="24" t="str">
        <f>'Index RU'!LC4</f>
        <v/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56.573601125098008</v>
      </c>
      <c r="JX5" s="24">
        <f>'Index RU'!JX5</f>
        <v>56.065757499484697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59.209518853217709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58.004929878428015</v>
      </c>
      <c r="KF5" s="24">
        <f>'Index RU'!KF5</f>
        <v>57.846656872113286</v>
      </c>
      <c r="KG5" s="24">
        <f>'Index RU'!KG5</f>
        <v>58.095748336612381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57.561022098677334</v>
      </c>
      <c r="KM5" s="24" t="str">
        <f>'Index RU'!KM5</f>
        <v/>
      </c>
      <c r="KN5" s="24" t="str">
        <f>'Index RU'!KN5</f>
        <v/>
      </c>
      <c r="KO5" s="24" t="str">
        <f>'Index RU'!KO5</f>
        <v/>
      </c>
      <c r="KP5" s="24" t="str">
        <f>'Index RU'!KP5</f>
        <v/>
      </c>
      <c r="KQ5" s="24" t="str">
        <f>'Index RU'!KQ5</f>
        <v/>
      </c>
      <c r="KR5" s="24" t="str">
        <f>'Index RU'!KR5</f>
        <v/>
      </c>
      <c r="KS5" s="24" t="str">
        <f>'Index RU'!KS5</f>
        <v/>
      </c>
      <c r="KT5" s="24" t="str">
        <f>'Index RU'!KT5</f>
        <v/>
      </c>
      <c r="KU5" s="24" t="str">
        <f>'Index RU'!KU5</f>
        <v/>
      </c>
      <c r="KV5" s="24" t="str">
        <f>'Index RU'!KV5</f>
        <v/>
      </c>
      <c r="KW5" s="24" t="str">
        <f>'Index RU'!KW5</f>
        <v/>
      </c>
      <c r="KX5" s="24" t="str">
        <f>'Index RU'!KX5</f>
        <v/>
      </c>
      <c r="KY5" s="24" t="str">
        <f>'Index RU'!KY5</f>
        <v/>
      </c>
      <c r="KZ5" s="24" t="str">
        <f>'Index RU'!KZ5</f>
        <v/>
      </c>
      <c r="LA5" s="24" t="str">
        <f>'Index RU'!LA5</f>
        <v/>
      </c>
      <c r="LB5" s="24" t="str">
        <f>'Index RU'!LB5</f>
        <v/>
      </c>
      <c r="LC5" s="24" t="str">
        <f>'Index RU'!LC5</f>
        <v/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63.516953488054277</v>
      </c>
      <c r="JU6" s="24">
        <f>'Index RU'!JU6</f>
        <v>62.007582390354955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 t="str">
        <f>'Index RU'!KM6</f>
        <v/>
      </c>
      <c r="KN6" s="24" t="str">
        <f>'Index RU'!KN6</f>
        <v/>
      </c>
      <c r="KO6" s="24" t="str">
        <f>'Index RU'!KO6</f>
        <v/>
      </c>
      <c r="KP6" s="24" t="str">
        <f>'Index RU'!KP6</f>
        <v/>
      </c>
      <c r="KQ6" s="24" t="str">
        <f>'Index RU'!KQ6</f>
        <v/>
      </c>
      <c r="KR6" s="24" t="str">
        <f>'Index RU'!KR6</f>
        <v/>
      </c>
      <c r="KS6" s="24" t="str">
        <f>'Index RU'!KS6</f>
        <v/>
      </c>
      <c r="KT6" s="24" t="str">
        <f>'Index RU'!KT6</f>
        <v/>
      </c>
      <c r="KU6" s="24" t="str">
        <f>'Index RU'!KU6</f>
        <v/>
      </c>
      <c r="KV6" s="24" t="str">
        <f>'Index RU'!KV6</f>
        <v/>
      </c>
      <c r="KW6" s="24" t="str">
        <f>'Index RU'!KW6</f>
        <v/>
      </c>
      <c r="KX6" s="24" t="str">
        <f>'Index RU'!KX6</f>
        <v/>
      </c>
      <c r="KY6" s="24" t="str">
        <f>'Index RU'!KY6</f>
        <v/>
      </c>
      <c r="KZ6" s="24" t="str">
        <f>'Index RU'!KZ6</f>
        <v/>
      </c>
      <c r="LA6" s="24" t="str">
        <f>'Index RU'!LA6</f>
        <v/>
      </c>
      <c r="LB6" s="24" t="str">
        <f>'Index RU'!LB6</f>
        <v/>
      </c>
      <c r="LC6" s="24" t="str">
        <f>'Index RU'!LC6</f>
        <v/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60.297615284776349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 t="str">
        <f>'Index RU'!KM7</f>
        <v/>
      </c>
      <c r="KN7" s="24" t="str">
        <f>'Index RU'!KN7</f>
        <v/>
      </c>
      <c r="KO7" s="24" t="str">
        <f>'Index RU'!KO7</f>
        <v/>
      </c>
      <c r="KP7" s="24" t="str">
        <f>'Index RU'!KP7</f>
        <v/>
      </c>
      <c r="KQ7" s="24" t="str">
        <f>'Index RU'!KQ7</f>
        <v/>
      </c>
      <c r="KR7" s="24" t="str">
        <f>'Index RU'!KR7</f>
        <v/>
      </c>
      <c r="KS7" s="24" t="str">
        <f>'Index RU'!KS7</f>
        <v/>
      </c>
      <c r="KT7" s="24" t="str">
        <f>'Index RU'!KT7</f>
        <v/>
      </c>
      <c r="KU7" s="24" t="str">
        <f>'Index RU'!KU7</f>
        <v/>
      </c>
      <c r="KV7" s="24" t="str">
        <f>'Index RU'!KV7</f>
        <v/>
      </c>
      <c r="KW7" s="24" t="str">
        <f>'Index RU'!KW7</f>
        <v/>
      </c>
      <c r="KX7" s="24" t="str">
        <f>'Index RU'!KX7</f>
        <v/>
      </c>
      <c r="KY7" s="24" t="str">
        <f>'Index RU'!KY7</f>
        <v/>
      </c>
      <c r="KZ7" s="24" t="str">
        <f>'Index RU'!KZ7</f>
        <v/>
      </c>
      <c r="LA7" s="24" t="str">
        <f>'Index RU'!LA7</f>
        <v/>
      </c>
      <c r="LB7" s="24" t="str">
        <f>'Index RU'!LB7</f>
        <v/>
      </c>
      <c r="LC7" s="24" t="str">
        <f>'Index RU'!LC7</f>
        <v/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73.791916373457624</v>
      </c>
      <c r="KM8" s="24" t="str">
        <f>'Index RU'!KM8</f>
        <v/>
      </c>
      <c r="KN8" s="24" t="str">
        <f>'Index RU'!KN8</f>
        <v/>
      </c>
      <c r="KO8" s="24" t="str">
        <f>'Index RU'!KO8</f>
        <v/>
      </c>
      <c r="KP8" s="24" t="str">
        <f>'Index RU'!KP8</f>
        <v/>
      </c>
      <c r="KQ8" s="24" t="str">
        <f>'Index RU'!KQ8</f>
        <v/>
      </c>
      <c r="KR8" s="24" t="str">
        <f>'Index RU'!KR8</f>
        <v/>
      </c>
      <c r="KS8" s="24" t="str">
        <f>'Index RU'!KS8</f>
        <v/>
      </c>
      <c r="KT8" s="24" t="str">
        <f>'Index RU'!KT8</f>
        <v/>
      </c>
      <c r="KU8" s="24" t="str">
        <f>'Index RU'!KU8</f>
        <v/>
      </c>
      <c r="KV8" s="24" t="str">
        <f>'Index RU'!KV8</f>
        <v/>
      </c>
      <c r="KW8" s="24" t="str">
        <f>'Index RU'!KW8</f>
        <v/>
      </c>
      <c r="KX8" s="24" t="str">
        <f>'Index RU'!KX8</f>
        <v/>
      </c>
      <c r="KY8" s="24" t="str">
        <f>'Index RU'!KY8</f>
        <v/>
      </c>
      <c r="KZ8" s="24" t="str">
        <f>'Index RU'!KZ8</f>
        <v/>
      </c>
      <c r="LA8" s="24" t="str">
        <f>'Index RU'!LA8</f>
        <v/>
      </c>
      <c r="LB8" s="24" t="str">
        <f>'Index RU'!LB8</f>
        <v/>
      </c>
      <c r="LC8" s="24" t="str">
        <f>'Index RU'!LC8</f>
        <v/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 t="str">
        <f>'Index RU'!KM9</f>
        <v/>
      </c>
      <c r="KN9" s="24" t="str">
        <f>'Index RU'!KN9</f>
        <v/>
      </c>
      <c r="KO9" s="24" t="str">
        <f>'Index RU'!KO9</f>
        <v/>
      </c>
      <c r="KP9" s="24" t="str">
        <f>'Index RU'!KP9</f>
        <v/>
      </c>
      <c r="KQ9" s="24" t="str">
        <f>'Index RU'!KQ9</f>
        <v/>
      </c>
      <c r="KR9" s="24" t="str">
        <f>'Index RU'!KR9</f>
        <v/>
      </c>
      <c r="KS9" s="24" t="str">
        <f>'Index RU'!KS9</f>
        <v/>
      </c>
      <c r="KT9" s="24" t="str">
        <f>'Index RU'!KT9</f>
        <v/>
      </c>
      <c r="KU9" s="24" t="str">
        <f>'Index RU'!KU9</f>
        <v/>
      </c>
      <c r="KV9" s="24" t="str">
        <f>'Index RU'!KV9</f>
        <v/>
      </c>
      <c r="KW9" s="24" t="str">
        <f>'Index RU'!KW9</f>
        <v/>
      </c>
      <c r="KX9" s="24" t="str">
        <f>'Index RU'!KX9</f>
        <v/>
      </c>
      <c r="KY9" s="24" t="str">
        <f>'Index RU'!KY9</f>
        <v/>
      </c>
      <c r="KZ9" s="24" t="str">
        <f>'Index RU'!KZ9</f>
        <v/>
      </c>
      <c r="LA9" s="24" t="str">
        <f>'Index RU'!LA9</f>
        <v/>
      </c>
      <c r="LB9" s="24" t="str">
        <f>'Index RU'!LB9</f>
        <v/>
      </c>
      <c r="LC9" s="24" t="str">
        <f>'Index RU'!LC9</f>
        <v/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70.290140529001093</v>
      </c>
      <c r="KM10" s="24" t="str">
        <f>'Index RU'!KM10</f>
        <v/>
      </c>
      <c r="KN10" s="24" t="str">
        <f>'Index RU'!KN10</f>
        <v/>
      </c>
      <c r="KO10" s="24" t="str">
        <f>'Index RU'!KO10</f>
        <v/>
      </c>
      <c r="KP10" s="24" t="str">
        <f>'Index RU'!KP10</f>
        <v/>
      </c>
      <c r="KQ10" s="24" t="str">
        <f>'Index RU'!KQ10</f>
        <v/>
      </c>
      <c r="KR10" s="24" t="str">
        <f>'Index RU'!KR10</f>
        <v/>
      </c>
      <c r="KS10" s="24" t="str">
        <f>'Index RU'!KS10</f>
        <v/>
      </c>
      <c r="KT10" s="24" t="str">
        <f>'Index RU'!KT10</f>
        <v/>
      </c>
      <c r="KU10" s="24" t="str">
        <f>'Index RU'!KU10</f>
        <v/>
      </c>
      <c r="KV10" s="24" t="str">
        <f>'Index RU'!KV10</f>
        <v/>
      </c>
      <c r="KW10" s="24" t="str">
        <f>'Index RU'!KW10</f>
        <v/>
      </c>
      <c r="KX10" s="24" t="str">
        <f>'Index RU'!KX10</f>
        <v/>
      </c>
      <c r="KY10" s="24" t="str">
        <f>'Index RU'!KY10</f>
        <v/>
      </c>
      <c r="KZ10" s="24" t="str">
        <f>'Index RU'!KZ10</f>
        <v/>
      </c>
      <c r="LA10" s="24" t="str">
        <f>'Index RU'!LA10</f>
        <v/>
      </c>
      <c r="LB10" s="24" t="str">
        <f>'Index RU'!LB10</f>
        <v/>
      </c>
      <c r="LC10" s="24" t="str">
        <f>'Index RU'!LC10</f>
        <v/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10.638130049391336</v>
      </c>
      <c r="KM11" s="24" t="e">
        <f>'Index RU'!KM11</f>
        <v>#VALUE!</v>
      </c>
      <c r="KN11" s="24" t="e">
        <f>'Index RU'!KN11</f>
        <v>#VALUE!</v>
      </c>
      <c r="KO11" s="24" t="e">
        <f>'Index RU'!KO11</f>
        <v>#VALUE!</v>
      </c>
      <c r="KP11" s="24" t="e">
        <f>'Index RU'!KP11</f>
        <v>#VALUE!</v>
      </c>
      <c r="KQ11" s="24" t="e">
        <f>'Index RU'!KQ11</f>
        <v>#VALUE!</v>
      </c>
      <c r="KR11" s="24" t="e">
        <f>'Index RU'!KR11</f>
        <v>#VALUE!</v>
      </c>
      <c r="KS11" s="24" t="e">
        <f>'Index RU'!KS11</f>
        <v>#VALUE!</v>
      </c>
      <c r="KT11" s="24" t="e">
        <f>'Index RU'!KT11</f>
        <v>#VALUE!</v>
      </c>
      <c r="KU11" s="24" t="e">
        <f>'Index RU'!KU11</f>
        <v>#VALUE!</v>
      </c>
      <c r="KV11" s="24" t="e">
        <f>'Index RU'!KV11</f>
        <v>#VALUE!</v>
      </c>
      <c r="KW11" s="24" t="e">
        <f>'Index RU'!KW11</f>
        <v>#VALUE!</v>
      </c>
      <c r="KX11" s="24" t="e">
        <f>'Index RU'!KX11</f>
        <v>#VALUE!</v>
      </c>
      <c r="KY11" s="24" t="e">
        <f>'Index RU'!KY11</f>
        <v>#VALUE!</v>
      </c>
      <c r="KZ11" s="24" t="e">
        <f>'Index RU'!KZ11</f>
        <v>#VALUE!</v>
      </c>
      <c r="LA11" s="24" t="e">
        <f>'Index RU'!LA11</f>
        <v>#VALUE!</v>
      </c>
      <c r="LB11" s="24" t="e">
        <f>'Index RU'!LB11</f>
        <v>#VALUE!</v>
      </c>
      <c r="LC11" s="24" t="e">
        <f>'Index RU'!LC11</f>
        <v>#VALUE!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-0.87214366484941053</v>
      </c>
      <c r="KM12" s="10" t="str">
        <f>'Index RU'!KM12</f>
        <v/>
      </c>
      <c r="KN12" s="10" t="str">
        <f>'Index RU'!KN12</f>
        <v/>
      </c>
      <c r="KO12" s="10" t="str">
        <f>'Index RU'!KO12</f>
        <v/>
      </c>
      <c r="KP12" s="10" t="str">
        <f>'Index RU'!KP12</f>
        <v/>
      </c>
      <c r="KQ12" s="10" t="str">
        <f>'Index RU'!KQ12</f>
        <v/>
      </c>
      <c r="KR12" s="10" t="str">
        <f>'Index RU'!KR12</f>
        <v/>
      </c>
      <c r="KS12" s="10" t="str">
        <f>'Index RU'!KS12</f>
        <v/>
      </c>
      <c r="KT12" s="10" t="str">
        <f>'Index RU'!KT12</f>
        <v/>
      </c>
      <c r="KU12" s="10" t="str">
        <f>'Index RU'!KU12</f>
        <v/>
      </c>
      <c r="KV12" s="10" t="str">
        <f>'Index RU'!KV12</f>
        <v/>
      </c>
      <c r="KW12" s="10" t="str">
        <f>'Index RU'!KW12</f>
        <v/>
      </c>
      <c r="KX12" s="10" t="str">
        <f>'Index RU'!KX12</f>
        <v/>
      </c>
      <c r="KY12" s="10" t="str">
        <f>'Index RU'!KY12</f>
        <v/>
      </c>
      <c r="KZ12" s="10" t="str">
        <f>'Index RU'!KZ12</f>
        <v/>
      </c>
      <c r="LA12" s="10" t="str">
        <f>'Index RU'!LA12</f>
        <v/>
      </c>
      <c r="LB12" s="10" t="str">
        <f>'Index RU'!LB12</f>
        <v/>
      </c>
      <c r="LC12" s="10">
        <f>'Index RU'!LC12</f>
        <v>0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-0.16045697214751437</v>
      </c>
      <c r="KM13" s="10" t="str">
        <f>'Index RU'!KM13</f>
        <v/>
      </c>
      <c r="KN13" s="10" t="str">
        <f>'Index RU'!KN13</f>
        <v/>
      </c>
      <c r="KO13" s="10" t="str">
        <f>'Index RU'!KO13</f>
        <v/>
      </c>
      <c r="KP13" s="10" t="str">
        <f>'Index RU'!KP13</f>
        <v/>
      </c>
      <c r="KQ13" s="10" t="str">
        <f>'Index RU'!KQ13</f>
        <v/>
      </c>
      <c r="KR13" s="10" t="str">
        <f>'Index RU'!KR13</f>
        <v/>
      </c>
      <c r="KS13" s="10" t="str">
        <f>'Index RU'!KS13</f>
        <v/>
      </c>
      <c r="KT13" s="10" t="str">
        <f>'Index RU'!KT13</f>
        <v/>
      </c>
      <c r="KU13" s="10" t="str">
        <f>'Index RU'!KU13</f>
        <v/>
      </c>
      <c r="KV13" s="10" t="str">
        <f>'Index RU'!KV13</f>
        <v/>
      </c>
      <c r="KW13" s="10" t="str">
        <f>'Index RU'!KW13</f>
        <v/>
      </c>
      <c r="KX13" s="10" t="str">
        <f>'Index RU'!KX13</f>
        <v/>
      </c>
      <c r="KY13" s="10" t="str">
        <f>'Index RU'!KY13</f>
        <v/>
      </c>
      <c r="KZ13" s="10" t="str">
        <f>'Index RU'!KZ13</f>
        <v/>
      </c>
      <c r="LA13" s="10" t="str">
        <f>'Index RU'!LA13</f>
        <v/>
      </c>
      <c r="LB13" s="10" t="str">
        <f>'Index RU'!LB13</f>
        <v/>
      </c>
      <c r="LC13" s="10" t="str">
        <f>'Index RU'!LC13</f>
        <v/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 t="str">
        <f>'Index RU'!KM14</f>
        <v/>
      </c>
      <c r="KN14" s="10" t="str">
        <f>'Index RU'!KN14</f>
        <v/>
      </c>
      <c r="KO14" s="10" t="str">
        <f>'Index RU'!KO14</f>
        <v/>
      </c>
      <c r="KP14" s="10" t="str">
        <f>'Index RU'!KP14</f>
        <v/>
      </c>
      <c r="KQ14" s="10" t="str">
        <f>'Index RU'!KQ14</f>
        <v/>
      </c>
      <c r="KR14" s="10" t="str">
        <f>'Index RU'!KR14</f>
        <v/>
      </c>
      <c r="KS14" s="10" t="str">
        <f>'Index RU'!KS14</f>
        <v/>
      </c>
      <c r="KT14" s="10" t="str">
        <f>'Index RU'!KT14</f>
        <v/>
      </c>
      <c r="KU14" s="10" t="str">
        <f>'Index RU'!KU14</f>
        <v/>
      </c>
      <c r="KV14" s="10" t="str">
        <f>'Index RU'!KV14</f>
        <v/>
      </c>
      <c r="KW14" s="10" t="str">
        <f>'Index RU'!KW14</f>
        <v/>
      </c>
      <c r="KX14" s="10" t="str">
        <f>'Index RU'!KX14</f>
        <v/>
      </c>
      <c r="KY14" s="10" t="str">
        <f>'Index RU'!KY14</f>
        <v/>
      </c>
      <c r="KZ14" s="10" t="str">
        <f>'Index RU'!KZ14</f>
        <v/>
      </c>
      <c r="LA14" s="10" t="str">
        <f>'Index RU'!LA14</f>
        <v/>
      </c>
      <c r="LB14" s="10" t="str">
        <f>'Index RU'!LB14</f>
        <v/>
      </c>
      <c r="LC14" s="10" t="str">
        <f>'Index RU'!LC14</f>
        <v/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-0.35301825409778004</v>
      </c>
      <c r="KM15" s="10" t="str">
        <f>'Index RU'!KM15</f>
        <v/>
      </c>
      <c r="KN15" s="10" t="str">
        <f>'Index RU'!KN15</f>
        <v/>
      </c>
      <c r="KO15" s="10" t="str">
        <f>'Index RU'!KO15</f>
        <v/>
      </c>
      <c r="KP15" s="10" t="str">
        <f>'Index RU'!KP15</f>
        <v/>
      </c>
      <c r="KQ15" s="10" t="str">
        <f>'Index RU'!KQ15</f>
        <v/>
      </c>
      <c r="KR15" s="10" t="str">
        <f>'Index RU'!KR15</f>
        <v/>
      </c>
      <c r="KS15" s="10" t="str">
        <f>'Index RU'!KS15</f>
        <v/>
      </c>
      <c r="KT15" s="10" t="str">
        <f>'Index RU'!KT15</f>
        <v/>
      </c>
      <c r="KU15" s="10" t="str">
        <f>'Index RU'!KU15</f>
        <v/>
      </c>
      <c r="KV15" s="10" t="str">
        <f>'Index RU'!KV15</f>
        <v/>
      </c>
      <c r="KW15" s="10" t="str">
        <f>'Index RU'!KW15</f>
        <v/>
      </c>
      <c r="KX15" s="10" t="str">
        <f>'Index RU'!KX15</f>
        <v/>
      </c>
      <c r="KY15" s="10" t="str">
        <f>'Index RU'!KY15</f>
        <v/>
      </c>
      <c r="KZ15" s="10" t="str">
        <f>'Index RU'!KZ15</f>
        <v/>
      </c>
      <c r="LA15" s="10" t="str">
        <f>'Index RU'!LA15</f>
        <v/>
      </c>
      <c r="LB15" s="10" t="str">
        <f>'Index RU'!LB15</f>
        <v/>
      </c>
      <c r="LC15" s="10" t="str">
        <f>'Index RU'!LC15</f>
        <v/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0.1947715779706875</v>
      </c>
      <c r="KM16" s="10" t="str">
        <f>'Index RU'!KM16</f>
        <v/>
      </c>
      <c r="KN16" s="10" t="str">
        <f>'Index RU'!KN16</f>
        <v/>
      </c>
      <c r="KO16" s="10" t="str">
        <f>'Index RU'!KO16</f>
        <v/>
      </c>
      <c r="KP16" s="10" t="str">
        <f>'Index RU'!KP16</f>
        <v/>
      </c>
      <c r="KQ16" s="10" t="str">
        <f>'Index RU'!KQ16</f>
        <v/>
      </c>
      <c r="KR16" s="10" t="str">
        <f>'Index RU'!KR16</f>
        <v/>
      </c>
      <c r="KS16" s="10" t="str">
        <f>'Index RU'!KS16</f>
        <v/>
      </c>
      <c r="KT16" s="10" t="str">
        <f>'Index RU'!KT16</f>
        <v/>
      </c>
      <c r="KU16" s="10" t="str">
        <f>'Index RU'!KU16</f>
        <v/>
      </c>
      <c r="KV16" s="10" t="str">
        <f>'Index RU'!KV16</f>
        <v/>
      </c>
      <c r="KW16" s="10" t="str">
        <f>'Index RU'!KW16</f>
        <v/>
      </c>
      <c r="KX16" s="10" t="str">
        <f>'Index RU'!KX16</f>
        <v/>
      </c>
      <c r="KY16" s="10" t="str">
        <f>'Index RU'!KY16</f>
        <v/>
      </c>
      <c r="KZ16" s="10" t="str">
        <f>'Index RU'!KZ16</f>
        <v/>
      </c>
      <c r="LA16" s="10" t="str">
        <f>'Index RU'!LA16</f>
        <v/>
      </c>
      <c r="LB16" s="10" t="str">
        <f>'Index RU'!LB16</f>
        <v/>
      </c>
      <c r="LC16" s="10" t="str">
        <f>'Index RU'!LC16</f>
        <v/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 t="str">
        <f>'Index RU'!KM17</f>
        <v/>
      </c>
      <c r="KN17" s="10" t="str">
        <f>'Index RU'!KN17</f>
        <v/>
      </c>
      <c r="KO17" s="10" t="str">
        <f>'Index RU'!KO17</f>
        <v/>
      </c>
      <c r="KP17" s="10" t="str">
        <f>'Index RU'!KP17</f>
        <v/>
      </c>
      <c r="KQ17" s="10" t="str">
        <f>'Index RU'!KQ17</f>
        <v/>
      </c>
      <c r="KR17" s="10" t="str">
        <f>'Index RU'!KR17</f>
        <v/>
      </c>
      <c r="KS17" s="10" t="str">
        <f>'Index RU'!KS17</f>
        <v/>
      </c>
      <c r="KT17" s="10" t="str">
        <f>'Index RU'!KT17</f>
        <v/>
      </c>
      <c r="KU17" s="10" t="str">
        <f>'Index RU'!KU17</f>
        <v/>
      </c>
      <c r="KV17" s="10" t="str">
        <f>'Index RU'!KV17</f>
        <v/>
      </c>
      <c r="KW17" s="10" t="str">
        <f>'Index RU'!KW17</f>
        <v/>
      </c>
      <c r="KX17" s="10" t="str">
        <f>'Index RU'!KX17</f>
        <v/>
      </c>
      <c r="KY17" s="10" t="str">
        <f>'Index RU'!KY17</f>
        <v/>
      </c>
      <c r="KZ17" s="10" t="str">
        <f>'Index RU'!KZ17</f>
        <v/>
      </c>
      <c r="LA17" s="10" t="str">
        <f>'Index RU'!LA17</f>
        <v/>
      </c>
      <c r="LB17" s="10" t="str">
        <f>'Index RU'!LB17</f>
        <v/>
      </c>
      <c r="LC17" s="10" t="str">
        <f>'Index RU'!LC17</f>
        <v/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-0.23951505507921236</v>
      </c>
      <c r="KM18" s="10" t="str">
        <f>'Index RU'!KM18</f>
        <v/>
      </c>
      <c r="KN18" s="10" t="str">
        <f>'Index RU'!KN18</f>
        <v/>
      </c>
      <c r="KO18" s="10" t="str">
        <f>'Index RU'!KO18</f>
        <v/>
      </c>
      <c r="KP18" s="10" t="str">
        <f>'Index RU'!KP18</f>
        <v/>
      </c>
      <c r="KQ18" s="10" t="str">
        <f>'Index RU'!KQ18</f>
        <v/>
      </c>
      <c r="KR18" s="10" t="str">
        <f>'Index RU'!KR18</f>
        <v/>
      </c>
      <c r="KS18" s="10" t="str">
        <f>'Index RU'!KS18</f>
        <v/>
      </c>
      <c r="KT18" s="10" t="str">
        <f>'Index RU'!KT18</f>
        <v/>
      </c>
      <c r="KU18" s="10" t="str">
        <f>'Index RU'!KU18</f>
        <v/>
      </c>
      <c r="KV18" s="10" t="str">
        <f>'Index RU'!KV18</f>
        <v/>
      </c>
      <c r="KW18" s="10" t="str">
        <f>'Index RU'!KW18</f>
        <v/>
      </c>
      <c r="KX18" s="10" t="str">
        <f>'Index RU'!KX18</f>
        <v/>
      </c>
      <c r="KY18" s="10" t="str">
        <f>'Index RU'!KY18</f>
        <v/>
      </c>
      <c r="KZ18" s="10" t="str">
        <f>'Index RU'!KZ18</f>
        <v/>
      </c>
      <c r="LA18" s="10" t="str">
        <f>'Index RU'!LA18</f>
        <v/>
      </c>
      <c r="LB18" s="10" t="str">
        <f>'Index RU'!LB18</f>
        <v/>
      </c>
      <c r="LC18" s="10" t="str">
        <f>'Index RU'!LC18</f>
        <v/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 t="str">
        <f>'Index RU'!KM19</f>
        <v/>
      </c>
      <c r="KN19" s="10" t="str">
        <f>'Index RU'!KN19</f>
        <v/>
      </c>
      <c r="KO19" s="10" t="str">
        <f>'Index RU'!KO19</f>
        <v/>
      </c>
      <c r="KP19" s="10" t="str">
        <f>'Index RU'!KP19</f>
        <v/>
      </c>
      <c r="KQ19" s="10" t="str">
        <f>'Index RU'!KQ19</f>
        <v/>
      </c>
      <c r="KR19" s="10" t="str">
        <f>'Index RU'!KR19</f>
        <v/>
      </c>
      <c r="KS19" s="10" t="str">
        <f>'Index RU'!KS19</f>
        <v/>
      </c>
      <c r="KT19" s="10" t="str">
        <f>'Index RU'!KT19</f>
        <v/>
      </c>
      <c r="KU19" s="10" t="str">
        <f>'Index RU'!KU19</f>
        <v/>
      </c>
      <c r="KV19" s="10" t="str">
        <f>'Index RU'!KV19</f>
        <v/>
      </c>
      <c r="KW19" s="10" t="str">
        <f>'Index RU'!KW19</f>
        <v/>
      </c>
      <c r="KX19" s="10" t="str">
        <f>'Index RU'!KX19</f>
        <v/>
      </c>
      <c r="KY19" s="10" t="str">
        <f>'Index RU'!KY19</f>
        <v/>
      </c>
      <c r="KZ19" s="10" t="str">
        <f>'Index RU'!KZ19</f>
        <v/>
      </c>
      <c r="LA19" s="10" t="str">
        <f>'Index RU'!LA19</f>
        <v/>
      </c>
      <c r="LB19" s="10" t="str">
        <f>'Index RU'!LB19</f>
        <v/>
      </c>
      <c r="LC19" s="10" t="str">
        <f>'Index RU'!LC19</f>
        <v/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 t="str">
        <f>'Index RU'!KM20</f>
        <v/>
      </c>
      <c r="KN20" s="10" t="str">
        <f>'Index RU'!KN20</f>
        <v/>
      </c>
      <c r="KO20" s="10" t="str">
        <f>'Index RU'!KO20</f>
        <v/>
      </c>
      <c r="KP20" s="10" t="str">
        <f>'Index RU'!KP20</f>
        <v/>
      </c>
      <c r="KQ20" s="10" t="str">
        <f>'Index RU'!KQ20</f>
        <v/>
      </c>
      <c r="KR20" s="10" t="str">
        <f>'Index RU'!KR20</f>
        <v/>
      </c>
      <c r="KS20" s="10" t="str">
        <f>'Index RU'!KS20</f>
        <v/>
      </c>
      <c r="KT20" s="10" t="str">
        <f>'Index RU'!KT20</f>
        <v/>
      </c>
      <c r="KU20" s="10" t="str">
        <f>'Index RU'!KU20</f>
        <v/>
      </c>
      <c r="KV20" s="10" t="str">
        <f>'Index RU'!KV20</f>
        <v/>
      </c>
      <c r="KW20" s="10" t="str">
        <f>'Index RU'!KW20</f>
        <v/>
      </c>
      <c r="KX20" s="10" t="str">
        <f>'Index RU'!KX20</f>
        <v/>
      </c>
      <c r="KY20" s="10" t="str">
        <f>'Index RU'!KY20</f>
        <v/>
      </c>
      <c r="KZ20" s="10" t="str">
        <f>'Index RU'!KZ20</f>
        <v/>
      </c>
      <c r="LA20" s="10" t="str">
        <f>'Index RU'!LA20</f>
        <v/>
      </c>
      <c r="LB20" s="10" t="str">
        <f>'Index RU'!LB20</f>
        <v/>
      </c>
      <c r="LC20" s="10" t="str">
        <f>'Index RU'!LC20</f>
        <v/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 t="str">
        <f>'Index RU'!KM21</f>
        <v/>
      </c>
      <c r="KN21" s="10" t="str">
        <f>'Index RU'!KN21</f>
        <v/>
      </c>
      <c r="KO21" s="10" t="str">
        <f>'Index RU'!KO21</f>
        <v/>
      </c>
      <c r="KP21" s="10" t="str">
        <f>'Index RU'!KP21</f>
        <v/>
      </c>
      <c r="KQ21" s="10" t="str">
        <f>'Index RU'!KQ21</f>
        <v/>
      </c>
      <c r="KR21" s="10" t="str">
        <f>'Index RU'!KR21</f>
        <v/>
      </c>
      <c r="KS21" s="10" t="str">
        <f>'Index RU'!KS21</f>
        <v/>
      </c>
      <c r="KT21" s="10" t="str">
        <f>'Index RU'!KT21</f>
        <v/>
      </c>
      <c r="KU21" s="10" t="str">
        <f>'Index RU'!KU21</f>
        <v/>
      </c>
      <c r="KV21" s="10" t="str">
        <f>'Index RU'!KV21</f>
        <v/>
      </c>
      <c r="KW21" s="10" t="str">
        <f>'Index RU'!KW21</f>
        <v/>
      </c>
      <c r="KX21" s="10" t="str">
        <f>'Index RU'!KX21</f>
        <v/>
      </c>
      <c r="KY21" s="10" t="str">
        <f>'Index RU'!KY21</f>
        <v/>
      </c>
      <c r="KZ21" s="10" t="str">
        <f>'Index RU'!KZ21</f>
        <v/>
      </c>
      <c r="LA21" s="10" t="str">
        <f>'Index RU'!LA21</f>
        <v/>
      </c>
      <c r="LB21" s="10" t="str">
        <f>'Index RU'!LB21</f>
        <v/>
      </c>
      <c r="LC21" s="10" t="str">
        <f>'Index RU'!LC21</f>
        <v/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 t="str">
        <f>'Index RU'!KM22</f>
        <v/>
      </c>
      <c r="KN22" s="10" t="str">
        <f>'Index RU'!KN22</f>
        <v/>
      </c>
      <c r="KO22" s="10" t="str">
        <f>'Index RU'!KO22</f>
        <v/>
      </c>
      <c r="KP22" s="10" t="str">
        <f>'Index RU'!KP22</f>
        <v/>
      </c>
      <c r="KQ22" s="10" t="str">
        <f>'Index RU'!KQ22</f>
        <v/>
      </c>
      <c r="KR22" s="10" t="str">
        <f>'Index RU'!KR22</f>
        <v/>
      </c>
      <c r="KS22" s="10" t="str">
        <f>'Index RU'!KS22</f>
        <v/>
      </c>
      <c r="KT22" s="10" t="str">
        <f>'Index RU'!KT22</f>
        <v/>
      </c>
      <c r="KU22" s="10" t="str">
        <f>'Index RU'!KU22</f>
        <v/>
      </c>
      <c r="KV22" s="10" t="str">
        <f>'Index RU'!KV22</f>
        <v/>
      </c>
      <c r="KW22" s="10" t="str">
        <f>'Index RU'!KW22</f>
        <v/>
      </c>
      <c r="KX22" s="10" t="str">
        <f>'Index RU'!KX22</f>
        <v/>
      </c>
      <c r="KY22" s="10" t="str">
        <f>'Index RU'!KY22</f>
        <v/>
      </c>
      <c r="KZ22" s="10" t="str">
        <f>'Index RU'!KZ22</f>
        <v/>
      </c>
      <c r="LA22" s="10" t="str">
        <f>'Index RU'!LA22</f>
        <v/>
      </c>
      <c r="LB22" s="10" t="str">
        <f>'Index RU'!LB22</f>
        <v/>
      </c>
      <c r="LC22" s="10" t="str">
        <f>'Index RU'!LC22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Q3</v>
      </c>
      <c r="E1" s="3" t="str">
        <f>[16]Table!F$2</f>
        <v>2025
Q4</v>
      </c>
      <c r="F1" s="3" t="str">
        <f>[16]Table!G$2</f>
        <v>2026
Q1</v>
      </c>
      <c r="G1" s="3" t="str">
        <f>[16]Table!H$2</f>
        <v>2026
Q2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11,57
(11,69)</v>
      </c>
      <c r="E9" s="7" t="str">
        <f>CONCATENATE(ROUND([16]Table!F$19,2),CHAR(10),"(",ROUND([16]Table!F$20,2),")")</f>
        <v>12,14
(12,19)</v>
      </c>
      <c r="F9" s="7" t="str">
        <f>CONCATENATE(ROUND([16]Table!G$19,2),CHAR(10),"(",ROUND([16]Table!G$20,2),")")</f>
        <v>12,47
(12,64)</v>
      </c>
      <c r="G9" s="7" t="str">
        <f>CONCATENATE(ROUND([16]Table!H$19,2),CHAR(10),"(",ROUND([16]Table!H$20,2),")")</f>
        <v>12,73
(12,82)</v>
      </c>
      <c r="H9" s="7" t="str">
        <f>CONCATENATE(ROUND([16]Table!I$19,2),CHAR(10),"(",ROUND([16]Table!I$20,2),")")</f>
        <v>12,14
(12,19)</v>
      </c>
      <c r="I9" s="7" t="str">
        <f>CONCATENATE(ROUND([16]Table!J$19,2),CHAR(10),"(",ROUND([16]Table!J$20,2),")")</f>
        <v>13,58
(13,35)</v>
      </c>
      <c r="J9" s="7" t="str">
        <f>CONCATENATE(ROUND([16]Table!K$19,2),CHAR(10),"(",ROUND([16]Table!K$20,2),")")</f>
        <v>14,01
(14,03)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45838</v>
      </c>
      <c r="C1" s="2">
        <f>EOMONTH([16]Plots!D$1,0)</f>
        <v>45930</v>
      </c>
      <c r="D1" s="2">
        <f>EOMONTH([16]Plots!E$1,0)</f>
        <v>46022</v>
      </c>
      <c r="E1" s="2">
        <f>EOMONTH([16]Plots!F$1,0)</f>
        <v>46112</v>
      </c>
      <c r="F1" s="2">
        <f>EOMONTH([16]Plots!G$1,0)</f>
        <v>46203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10.943300000000001</v>
      </c>
      <c r="C2" s="10">
        <f>[16]Plots!D53</f>
        <v>11.572114413070379</v>
      </c>
      <c r="D2" s="10">
        <f>[16]Plots!E53</f>
        <v>12.142358688066992</v>
      </c>
      <c r="E2" s="10">
        <f>[16]Plots!F53</f>
        <v>12.467644669471587</v>
      </c>
      <c r="F2" s="10">
        <f>[16]Plots!G53</f>
        <v>12.730960499869605</v>
      </c>
      <c r="G2" s="10">
        <f>[16]Plots!J53</f>
        <v>14.005602240896359</v>
      </c>
    </row>
    <row r="3" spans="1:7" x14ac:dyDescent="0.25">
      <c r="A3" t="s">
        <v>42</v>
      </c>
      <c r="B3" s="10">
        <f>[16]Plots!C54</f>
        <v>10.943300000000001</v>
      </c>
      <c r="C3" s="10">
        <f>[16]Plots!D54</f>
        <v>11.693692939668631</v>
      </c>
      <c r="D3" s="10">
        <f>[16]Plots!E54</f>
        <v>12.1875</v>
      </c>
      <c r="E3" s="10">
        <f>[16]Plots!F54</f>
        <v>12.638888888888889</v>
      </c>
      <c r="F3" s="10">
        <f>[16]Plots!G54</f>
        <v>12.822319363392522</v>
      </c>
      <c r="G3" s="10">
        <f>[16]Plots!J54</f>
        <v>14.027777777777777</v>
      </c>
    </row>
    <row r="4" spans="1:7" x14ac:dyDescent="0.25">
      <c r="A4" t="s">
        <v>43</v>
      </c>
      <c r="B4" s="10">
        <f>[16]Plots!C55</f>
        <v>10.943300000000001</v>
      </c>
      <c r="C4" s="10">
        <f>[16]Plots!D55</f>
        <v>11.381944444444445</v>
      </c>
      <c r="D4" s="10">
        <f>[16]Plots!E55</f>
        <v>11.908321868450603</v>
      </c>
      <c r="E4" s="10">
        <f>[16]Plots!F55</f>
        <v>12.256934092469411</v>
      </c>
      <c r="F4" s="10">
        <f>[16]Plots!G55</f>
        <v>12.495513174774365</v>
      </c>
      <c r="G4" s="10">
        <f>[16]Plots!J55</f>
        <v>13.459412342997409</v>
      </c>
    </row>
    <row r="5" spans="1:7" x14ac:dyDescent="0.25">
      <c r="A5" t="s">
        <v>44</v>
      </c>
      <c r="B5" s="10">
        <f>[16]Plots!C56</f>
        <v>0</v>
      </c>
      <c r="C5" s="10">
        <f>[16]Plots!D56</f>
        <v>0.38193959327822391</v>
      </c>
      <c r="D5" s="10">
        <f>[16]Plots!E56</f>
        <v>0.83459523543187331</v>
      </c>
      <c r="E5" s="10">
        <f>[16]Plots!F56</f>
        <v>0.6202588899867294</v>
      </c>
      <c r="F5" s="10">
        <f>[16]Plots!G56</f>
        <v>0.85074916655144683</v>
      </c>
      <c r="G5" s="10">
        <f>[16]Plots!J56</f>
        <v>1.2370162284311625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C146C0-1DD0-40A7-9447-E0569D02C1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2025-09-22T14:18:58Z</dcterms:modified>
</cp:coreProperties>
</file>